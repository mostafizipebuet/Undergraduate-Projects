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824b869144b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a9d8fd247642b1"/>
    <x:sheet xmlns:r="http://schemas.openxmlformats.org/officeDocument/2006/relationships" name="Cases" sheetId="2" r:id="R40a1344bf7d546b8"/>
    <x:sheet xmlns:r="http://schemas.openxmlformats.org/officeDocument/2006/relationships" name="Scenarios" sheetId="3" r:id="Rcff1564eee9b40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%"/>
    <x:numFmt numFmtId="202" formatCode="0.0"/>
  </x:numFmts>
  <x:fonts count="3">
    <x:font>
      <x:sz val="11"/>
      <x:name val="Carlito"/>
    </x:font>
    <x:font>
      <x:sz val="11"/>
      <x:color rgb="FF172C3D"/>
      <x:name val="DejaVu Sans"/>
    </x:font>
    <x:font>
      <x:b/>
      <x:sz val="11"/>
      <x:color rgb="FFFFFFFF"/>
      <x:name val="DejaVu Sans"/>
    </x:font>
  </x:fonts>
  <x:fills count="3">
    <x:fill>
      <x:patternFill patternType="none"/>
    </x:fill>
    <x:fill>
      <x:patternFill patternType="gray125"/>
    </x:fill>
    <x:fill>
      <x:patternFill patternType="solid">
        <x:fgColor rgb="FF10283A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41da53ed1e4ff6" /><Relationship Type="http://schemas.openxmlformats.org/officeDocument/2006/relationships/theme" Target="/xl/theme/theme1.xml" Id="R05bc0a6664214bfd" /><Relationship Type="http://schemas.openxmlformats.org/officeDocument/2006/relationships/sharedStrings" Target="/xl/sharedStrings.xml" Id="R30209bf03dd64a4a" /><Relationship Type="http://schemas.openxmlformats.org/officeDocument/2006/relationships/worksheet" Target="/xl/worksheets/sheet1.xml" Id="R33a9d8fd247642b1" /><Relationship Type="http://schemas.openxmlformats.org/officeDocument/2006/relationships/worksheet" Target="/xl/worksheets/sheet2.xml" Id="R40a1344bf7d546b8" /><Relationship Type="http://schemas.openxmlformats.org/officeDocument/2006/relationships/worksheet" Target="/xl/worksheets/sheet3.xml" Id="Rcff1564eee9b40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2" hidden="0" customWidth="1"/>
    <x:col min="2" max="2" width="51" hidden="0" customWidth="1"/>
    <x:col min="3" max="3" width="26" hidden="0" customWidth="1"/>
    <x:col min="4" max="4" width="58" hidden="0" customWidth="1"/>
  </x:cols>
  <x:sheetData>
    <x:row r="2" ht="27" customHeight="1">
      <x:c r="A2" s="3" t="str">
        <x:v>Dhaka Medical-inspired OR pilot</x:v>
      </x:c>
      <x:c r="B2" s="3" t="str">
        <x:v>Fixed blocks</x:v>
      </x:c>
      <x:c r="C2" s="3" t="str">
        <x:v>Flexible blocks</x:v>
      </x:c>
      <x:c r="D2" s="3" t="str">
        <x:v>Definition</x:v>
      </x:c>
    </x:row>
    <x:row r="3" ht="27" customHeight="1">
      <x:c r="A3" s="1" t="str">
        <x:v>Scheduled cases</x:v>
      </x:c>
      <x:c r="B3" s="1" t="n">
        <x:f>SUM(Cases!O2:O91)</x:f>
        <x:v>64</x:v>
      </x:c>
      <x:c r="C3" s="1" t="n">
        <x:f>SUM(Cases!P2:P91)</x:f>
        <x:v>64</x:v>
      </x:c>
      <x:c r="D3" s="1" t="str">
        <x:v>Count of assigned cases</x:v>
      </x:c>
    </x:row>
    <x:row r="4" ht="27" customHeight="1">
      <x:c r="A4" s="1" t="str">
        <x:v>Priority 1 cases</x:v>
      </x:c>
      <x:c r="B4" s="1" t="n">
        <x:f>COUNTIFS(Cases!C2:C91,1,Cases!O2:O91,1)</x:f>
        <x:v>23</x:v>
      </x:c>
      <x:c r="C4" s="1" t="n">
        <x:f>COUNTIFS(Cases!C2:C91,1,Cases!P2:P91,1)</x:f>
        <x:v>23</x:v>
      </x:c>
      <x:c r="D4" s="1" t="str">
        <x:v>Synthetic high-priority band</x:v>
      </x:c>
    </x:row>
    <x:row r="5" ht="27" customHeight="1">
      <x:c r="A5" s="1" t="str">
        <x:v>Priority 2 cases</x:v>
      </x:c>
      <x:c r="B5" s="1" t="n">
        <x:f>COUNTIFS(Cases!C2:C91,2,Cases!O2:O91,1)</x:f>
        <x:v>29</x:v>
      </x:c>
      <x:c r="C5" s="1" t="n">
        <x:f>COUNTIFS(Cases!C2:C91,2,Cases!P2:P91,1)</x:f>
        <x:v>33</x:v>
      </x:c>
      <x:c r="D5" s="1" t="str">
        <x:v>Synthetic medium-priority band</x:v>
      </x:c>
    </x:row>
    <x:row r="6" ht="27" customHeight="1">
      <x:c r="A6" s="1" t="str">
        <x:v>Priority 3 cases</x:v>
      </x:c>
      <x:c r="B6" s="1" t="n">
        <x:f>COUNTIFS(Cases!C2:C91,3,Cases!O2:O91,1)</x:f>
        <x:v>12</x:v>
      </x:c>
      <x:c r="C6" s="1" t="n">
        <x:f>COUNTIFS(Cases!C2:C91,3,Cases!P2:P91,1)</x:f>
        <x:v>8</x:v>
      </x:c>
      <x:c r="D6" s="1" t="str">
        <x:v>Synthetic routine band</x:v>
      </x:c>
    </x:row>
    <x:row r="7" ht="27" customHeight="1">
      <x:c r="A7" s="1" t="str">
        <x:v>Priority score</x:v>
      </x:c>
      <x:c r="B7" s="4" t="n">
        <x:f>SUM(Cases!Q2:Q91)</x:f>
        <x:v>583.0799999999998</x:v>
      </x:c>
      <x:c r="C7" s="4" t="n">
        <x:f>SUM(Cases!R2:R91)</x:f>
        <x:v>592.6400000000001</x:v>
      </x:c>
      <x:c r="D7" s="1" t="str">
        <x:v>Model-specific weighted utility</x:v>
      </x:c>
    </x:row>
    <x:row r="8" ht="27" customHeight="1">
      <x:c r="A8" s="1" t="str">
        <x:v>Planned hours</x:v>
      </x:c>
      <x:c r="B8" s="4" t="n">
        <x:f>SUMPRODUCT(Cases!G2:G91,Cases!O2:O91)/60</x:f>
        <x:v>165.25</x:v>
      </x:c>
      <x:c r="C8" s="4" t="n">
        <x:f>SUMPRODUCT(Cases!G2:G91,Cases!P2:P91)/60</x:f>
        <x:v>160.33333333333334</x:v>
      </x:c>
      <x:c r="D8" s="1" t="str">
        <x:v>Procedure plus turnover</x:v>
      </x:c>
    </x:row>
    <x:row r="9" ht="27" customHeight="1">
      <x:c r="A9" s="1" t="str">
        <x:v>Expected overtime h/week</x:v>
      </x:c>
      <x:c r="B9" s="4" t="n">
        <x:v>1.1222879378867607</x:v>
      </x:c>
      <x:c r="C9" s="4" t="n">
        <x:v>0.784464535431993</x:v>
      </x:c>
      <x:c r="D9" s="1" t="str">
        <x:v>3,000 gamma-duration replications</x:v>
      </x:c>
    </x:row>
    <x:row r="10" ht="27" customHeight="1">
      <x:c r="A10" s="1" t="str">
        <x:v>MILP solver gap</x:v>
      </x:c>
      <x:c r="B10" s="5" t="n">
        <x:v>0.008300747753314979</x:v>
      </x:c>
      <x:c r="C10" s="5" t="n">
        <x:v>0.04569384449235622</x:v>
      </x:c>
      <x:c r="D10" s="1" t="str">
        <x:v>Solver-reported relative gap</x:v>
      </x:c>
    </x:row>
    <x:row r="11" ht="27" customHeight="1">
      <x:c r="A11" s="1"/>
      <x:c r="B11" s="1"/>
      <x:c r="C11" s="1"/>
      <x:c r="D11" s="1"/>
    </x:row>
    <x:row r="12" ht="27" customHeight="1">
      <x:c r="A12" s="3" t="str">
        <x:v>Model assumptions</x:v>
      </x:c>
      <x:c r="B12" s="3" t="str">
        <x:v>Value</x:v>
      </x:c>
      <x:c r="C12" s="1"/>
      <x:c r="D12" s="1"/>
    </x:row>
    <x:row r="13" ht="27" customHeight="1">
      <x:c r="A13" s="1" t="str">
        <x:v>Case records</x:v>
      </x:c>
      <x:c r="B13" s="1" t="str">
        <x:v>90 synthetic records, seed 314159</x:v>
      </x:c>
      <x:c r="C13" s="1"/>
      <x:c r="D13" s="1"/>
    </x:row>
    <x:row r="14" ht="27" customHeight="1">
      <x:c r="A14" s="1" t="str">
        <x:v>Elective rooms</x:v>
      </x:c>
      <x:c r="B14" s="1" t="str">
        <x:v>5 rooms across 5 weekdays</x:v>
      </x:c>
      <x:c r="C14" s="1"/>
      <x:c r="D14" s="1"/>
    </x:row>
    <x:row r="15" ht="27" customHeight="1">
      <x:c r="A15" s="1" t="str">
        <x:v>Emergency capacity</x:v>
      </x:c>
      <x:c r="B15" s="1" t="str">
        <x:v>1 reserved illustrative room</x:v>
      </x:c>
      <x:c r="C15" s="1"/>
      <x:c r="D15" s="1"/>
    </x:row>
    <x:row r="16" ht="27" customHeight="1">
      <x:c r="A16" s="1" t="str">
        <x:v>Room booking cap</x:v>
      </x:c>
      <x:c r="B16" s="1" t="str">
        <x:v>420 min per room-day</x:v>
      </x:c>
      <x:c r="C16" s="1"/>
      <x:c r="D16" s="1"/>
    </x:row>
    <x:row r="17" ht="27" customHeight="1">
      <x:c r="A17" s="1" t="str">
        <x:v>Regular shift</x:v>
      </x:c>
      <x:c r="B17" s="1" t="str">
        <x:v>480 min per room-day</x:v>
      </x:c>
      <x:c r="C17" s="1"/>
      <x:c r="D17" s="1"/>
    </x:row>
    <x:row r="18" ht="27" customHeight="1">
      <x:c r="A18" s="1" t="str">
        <x:v>Turnover</x:v>
      </x:c>
      <x:c r="B18" s="1" t="str">
        <x:v>25 min per case</x:v>
      </x:c>
      <x:c r="C18" s="1"/>
      <x:c r="D18" s="1"/>
    </x:row>
    <x:row r="19" ht="27" customHeight="1">
      <x:c r="A19" s="1" t="str">
        <x:v>Post-op bed starts</x:v>
      </x:c>
      <x:c r="B19" s="1" t="str">
        <x:v>11 per day maximum</x:v>
      </x:c>
      <x:c r="C19" s="1"/>
      <x:c r="D19" s="1"/>
    </x:row>
    <x:row r="20" ht="27" customHeight="1">
      <x:c r="A20" s="1" t="str">
        <x:v>Duration model</x:v>
      </x:c>
      <x:c r="B20" s="1" t="str">
        <x:v>Gamma CV=0.25; seed 442</x:v>
      </x:c>
      <x:c r="C20" s="1"/>
      <x:c r="D20" s="1"/>
    </x:row>
    <x:row r="21" ht="27" customHeight="1">
      <x:c r="A21" s="1"/>
      <x:c r="B21" s="1"/>
      <x:c r="C21" s="1"/>
      <x:c r="D21" s="1"/>
    </x:row>
    <x:row r="22" ht="27" customHeight="1">
      <x:c r="A22" s="1" t="str">
        <x:v>Interpretation</x:v>
      </x:c>
      <x:c r="B22" s="1" t="str">
        <x:v>All case, room, roster and outcome values are synthetic; editing input records does not re-solve the MILP.</x:v>
      </x:c>
      <x:c r="C22" s="1" t="str"/>
      <x:c r="D22" s="1" t="str"/>
    </x:row>
    <x:row r="23" ht="27" customHeight="1">
      <x:c r="A23" s="1" t="str">
        <x:v>Public context</x:v>
      </x:c>
      <x:c r="B23" s="1" t="str">
        <x:v>https://dmch.gov.bd/about/dhaka-medical-college-hospital/</x:v>
      </x:c>
      <x:c r="C23" s="1" t="str"/>
      <x:c r="D23" s="1" t="str"/>
    </x:row>
    <x:row r="24">
      <x:c r="A24" s="1"/>
      <x:c r="B24" s="1"/>
      <x:c r="C24" s="1"/>
      <x:c r="D2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4" customHeight="1">
      <x:c r="A1" s="3" t="str">
        <x:v>Case ID</x:v>
      </x:c>
      <x:c r="B1" s="3" t="str">
        <x:v>Specialty</x:v>
      </x:c>
      <x:c r="C1" s="3" t="str">
        <x:v>Priority band</x:v>
      </x:c>
      <x:c r="D1" s="3" t="str">
        <x:v>Wait days</x:v>
      </x:c>
      <x:c r="E1" s="3" t="str">
        <x:v>Procedure min</x:v>
      </x:c>
      <x:c r="F1" s="3" t="str">
        <x:v>Turnover min</x:v>
      </x:c>
      <x:c r="G1" s="3" t="str">
        <x:v>Planned min</x:v>
      </x:c>
      <x:c r="H1" s="3" t="str">
        <x:v>Ready day</x:v>
      </x:c>
      <x:c r="I1" s="3" t="str">
        <x:v>Target day</x:v>
      </x:c>
      <x:c r="J1" s="3" t="str">
        <x:v>Post-op bed</x:v>
      </x:c>
      <x:c r="K1" s="3" t="str">
        <x:v>Fixed room</x:v>
      </x:c>
      <x:c r="L1" s="3" t="str">
        <x:v>Fixed day</x:v>
      </x:c>
      <x:c r="M1" s="3" t="str">
        <x:v>Flex room</x:v>
      </x:c>
      <x:c r="N1" s="3" t="str">
        <x:v>Flex day</x:v>
      </x:c>
      <x:c r="O1" s="3" t="str">
        <x:v>Fixed selected</x:v>
      </x:c>
      <x:c r="P1" s="3" t="str">
        <x:v>Flex selected</x:v>
      </x:c>
      <x:c r="Q1" s="3" t="str">
        <x:v>Fixed score</x:v>
      </x:c>
      <x:c r="R1" s="3" t="str">
        <x:v>Flex score</x:v>
      </x:c>
    </x:row>
    <x:row r="2" ht="24" customHeight="1">
      <x:c r="A2" s="1" t="str">
        <x:v>C001</x:v>
      </x:c>
      <x:c r="B2" s="1" t="str">
        <x:v>General</x:v>
      </x:c>
      <x:c r="C2" s="1" t="n">
        <x:v>3</x:v>
      </x:c>
      <x:c r="D2" s="1" t="n">
        <x:v>28</x:v>
      </x:c>
      <x:c r="E2" s="1" t="n">
        <x:v>160</x:v>
      </x:c>
      <x:c r="F2" s="1" t="n">
        <x:v>25</x:v>
      </x:c>
      <x:c r="G2" s="1" t="n">
        <x:v>185</x:v>
      </x:c>
      <x:c r="H2" s="1" t="n">
        <x:v>2</x:v>
      </x:c>
      <x:c r="I2" s="1" t="n">
        <x:v>5</x:v>
      </x:c>
      <x:c r="J2" s="1" t="n">
        <x:v>1</x:v>
      </x:c>
      <x:c r="K2" s="1" t="str"/>
      <x:c r="L2" s="1" t="str"/>
      <x:c r="M2" s="1" t="str"/>
      <x:c r="N2" s="1" t="str"/>
      <x:c r="O2" s="1" t="n">
        <x:v>0</x:v>
      </x:c>
      <x:c r="P2" s="1" t="n">
        <x:v>0</x:v>
      </x:c>
      <x:c r="Q2" s="4" t="n">
        <x:v>0</x:v>
      </x:c>
      <x:c r="R2" s="4" t="n">
        <x:v>0</x:v>
      </x:c>
    </x:row>
    <x:row r="3" ht="24" customHeight="1">
      <x:c r="A3" s="1" t="str">
        <x:v>C002</x:v>
      </x:c>
      <x:c r="B3" s="1" t="str">
        <x:v>General</x:v>
      </x:c>
      <x:c r="C3" s="1" t="n">
        <x:v>2</x:v>
      </x:c>
      <x:c r="D3" s="1" t="n">
        <x:v>71</x:v>
      </x:c>
      <x:c r="E3" s="1" t="n">
        <x:v>100</x:v>
      </x:c>
      <x:c r="F3" s="1" t="n">
        <x:v>25</x:v>
      </x:c>
      <x:c r="G3" s="1" t="n">
        <x:v>125</x:v>
      </x:c>
      <x:c r="H3" s="1" t="n">
        <x:v>1</x:v>
      </x:c>
      <x:c r="I3" s="1" t="n">
        <x:v>3</x:v>
      </x:c>
      <x:c r="J3" s="1" t="n">
        <x:v>1</x:v>
      </x:c>
      <x:c r="K3" s="1" t="str">
        <x:v>R1</x:v>
      </x:c>
      <x:c r="L3" s="1" t="n">
        <x:v>1</x:v>
      </x:c>
      <x:c r="M3" s="1" t="str">
        <x:v>R3</x:v>
      </x:c>
      <x:c r="N3" s="1" t="n">
        <x:v>1</x:v>
      </x:c>
      <x:c r="O3" s="1" t="n">
        <x:v>1</x:v>
      </x:c>
      <x:c r="P3" s="1" t="n">
        <x:v>1</x:v>
      </x:c>
      <x:c r="Q3" s="4" t="n">
        <x:v>7.84</x:v>
      </x:c>
      <x:c r="R3" s="4" t="n">
        <x:v>7.84</x:v>
      </x:c>
    </x:row>
    <x:row r="4" ht="24" customHeight="1">
      <x:c r="A4" s="1" t="str">
        <x:v>C003</x:v>
      </x:c>
      <x:c r="B4" s="1" t="str">
        <x:v>General</x:v>
      </x:c>
      <x:c r="C4" s="1" t="n">
        <x:v>3</x:v>
      </x:c>
      <x:c r="D4" s="1" t="n">
        <x:v>72</x:v>
      </x:c>
      <x:c r="E4" s="1" t="n">
        <x:v>150</x:v>
      </x:c>
      <x:c r="F4" s="1" t="n">
        <x:v>25</x:v>
      </x:c>
      <x:c r="G4" s="1" t="n">
        <x:v>175</x:v>
      </x:c>
      <x:c r="H4" s="1" t="n">
        <x:v>1</x:v>
      </x:c>
      <x:c r="I4" s="1" t="n">
        <x:v>5</x:v>
      </x:c>
      <x:c r="J4" s="1" t="n">
        <x:v>1</x:v>
      </x:c>
      <x:c r="K4" s="1" t="str"/>
      <x:c r="L4" s="1" t="str"/>
      <x:c r="M4" s="1" t="str"/>
      <x:c r="N4" s="1" t="str"/>
      <x:c r="O4" s="1" t="n">
        <x:v>0</x:v>
      </x:c>
      <x:c r="P4" s="1" t="n">
        <x:v>0</x:v>
      </x:c>
      <x:c r="Q4" s="4" t="n">
        <x:v>0</x:v>
      </x:c>
      <x:c r="R4" s="4" t="n">
        <x:v>0</x:v>
      </x:c>
    </x:row>
    <x:row r="5" ht="24" customHeight="1">
      <x:c r="A5" s="1" t="str">
        <x:v>C004</x:v>
      </x:c>
      <x:c r="B5" s="1" t="str">
        <x:v>General</x:v>
      </x:c>
      <x:c r="C5" s="1" t="n">
        <x:v>2</x:v>
      </x:c>
      <x:c r="D5" s="1" t="n">
        <x:v>56</x:v>
      </x:c>
      <x:c r="E5" s="1" t="n">
        <x:v>180</x:v>
      </x:c>
      <x:c r="F5" s="1" t="n">
        <x:v>25</x:v>
      </x:c>
      <x:c r="G5" s="1" t="n">
        <x:v>205</x:v>
      </x:c>
      <x:c r="H5" s="1" t="n">
        <x:v>1</x:v>
      </x:c>
      <x:c r="I5" s="1" t="n">
        <x:v>3</x:v>
      </x:c>
      <x:c r="J5" s="1" t="n">
        <x:v>1</x:v>
      </x:c>
      <x:c r="K5" s="1" t="str"/>
      <x:c r="L5" s="1" t="str"/>
      <x:c r="M5" s="1" t="str">
        <x:v>R1</x:v>
      </x:c>
      <x:c r="N5" s="1" t="n">
        <x:v>3</x:v>
      </x:c>
      <x:c r="O5" s="1" t="n">
        <x:v>0</x:v>
      </x:c>
      <x:c r="P5" s="1" t="n">
        <x:v>1</x:v>
      </x:c>
      <x:c r="Q5" s="4" t="n">
        <x:v>0</x:v>
      </x:c>
      <x:c r="R5" s="4" t="n">
        <x:v>7.24</x:v>
      </x:c>
    </x:row>
    <x:row r="6" ht="24" customHeight="1">
      <x:c r="A6" s="1" t="str">
        <x:v>C005</x:v>
      </x:c>
      <x:c r="B6" s="1" t="str">
        <x:v>General</x:v>
      </x:c>
      <x:c r="C6" s="1" t="n">
        <x:v>2</x:v>
      </x:c>
      <x:c r="D6" s="1" t="n">
        <x:v>61</x:v>
      </x:c>
      <x:c r="E6" s="1" t="n">
        <x:v>145</x:v>
      </x:c>
      <x:c r="F6" s="1" t="n">
        <x:v>25</x:v>
      </x:c>
      <x:c r="G6" s="1" t="n">
        <x:v>170</x:v>
      </x:c>
      <x:c r="H6" s="1" t="n">
        <x:v>1</x:v>
      </x:c>
      <x:c r="I6" s="1" t="n">
        <x:v>3</x:v>
      </x:c>
      <x:c r="J6" s="1" t="n">
        <x:v>1</x:v>
      </x:c>
      <x:c r="K6" s="1" t="str">
        <x:v>R1</x:v>
      </x:c>
      <x:c r="L6" s="1" t="n">
        <x:v>3</x:v>
      </x:c>
      <x:c r="M6" s="1" t="str"/>
      <x:c r="N6" s="1" t="str"/>
      <x:c r="O6" s="1" t="n">
        <x:v>1</x:v>
      </x:c>
      <x:c r="P6" s="1" t="n">
        <x:v>0</x:v>
      </x:c>
      <x:c r="Q6" s="4" t="n">
        <x:v>7.4399999999999995</x:v>
      </x:c>
      <x:c r="R6" s="4" t="n">
        <x:v>0</x:v>
      </x:c>
    </x:row>
    <x:row r="7" ht="24" customHeight="1">
      <x:c r="A7" s="1" t="str">
        <x:v>C006</x:v>
      </x:c>
      <x:c r="B7" s="1" t="str">
        <x:v>General</x:v>
      </x:c>
      <x:c r="C7" s="1" t="n">
        <x:v>2</x:v>
      </x:c>
      <x:c r="D7" s="1" t="n">
        <x:v>19</x:v>
      </x:c>
      <x:c r="E7" s="1" t="n">
        <x:v>110</x:v>
      </x:c>
      <x:c r="F7" s="1" t="n">
        <x:v>25</x:v>
      </x:c>
      <x:c r="G7" s="1" t="n">
        <x:v>135</x:v>
      </x:c>
      <x:c r="H7" s="1" t="n">
        <x:v>2</x:v>
      </x:c>
      <x:c r="I7" s="1" t="n">
        <x:v>5</x:v>
      </x:c>
      <x:c r="J7" s="1" t="n">
        <x:v>1</x:v>
      </x:c>
      <x:c r="K7" s="1" t="str">
        <x:v>R1</x:v>
      </x:c>
      <x:c r="L7" s="1" t="n">
        <x:v>4</x:v>
      </x:c>
      <x:c r="M7" s="1" t="str">
        <x:v>R4</x:v>
      </x:c>
      <x:c r="N7" s="1" t="n">
        <x:v>3</x:v>
      </x:c>
      <x:c r="O7" s="1" t="n">
        <x:v>1</x:v>
      </x:c>
      <x:c r="P7" s="1" t="n">
        <x:v>1</x:v>
      </x:c>
      <x:c r="Q7" s="4" t="n">
        <x:v>5.76</x:v>
      </x:c>
      <x:c r="R7" s="4" t="n">
        <x:v>5.76</x:v>
      </x:c>
    </x:row>
    <x:row r="8" ht="24" customHeight="1">
      <x:c r="A8" s="1" t="str">
        <x:v>C007</x:v>
      </x:c>
      <x:c r="B8" s="1" t="str">
        <x:v>General</x:v>
      </x:c>
      <x:c r="C8" s="1" t="n">
        <x:v>2</x:v>
      </x:c>
      <x:c r="D8" s="1" t="n">
        <x:v>60</x:v>
      </x:c>
      <x:c r="E8" s="1" t="n">
        <x:v>160</x:v>
      </x:c>
      <x:c r="F8" s="1" t="n">
        <x:v>25</x:v>
      </x:c>
      <x:c r="G8" s="1" t="n">
        <x:v>185</x:v>
      </x:c>
      <x:c r="H8" s="1" t="n">
        <x:v>1</x:v>
      </x:c>
      <x:c r="I8" s="1" t="n">
        <x:v>3</x:v>
      </x:c>
      <x:c r="J8" s="1" t="n">
        <x:v>1</x:v>
      </x:c>
      <x:c r="K8" s="1" t="str"/>
      <x:c r="L8" s="1" t="str"/>
      <x:c r="M8" s="1" t="str">
        <x:v>R1</x:v>
      </x:c>
      <x:c r="N8" s="1" t="n">
        <x:v>3</x:v>
      </x:c>
      <x:c r="O8" s="1" t="n">
        <x:v>0</x:v>
      </x:c>
      <x:c r="P8" s="1" t="n">
        <x:v>1</x:v>
      </x:c>
      <x:c r="Q8" s="4" t="n">
        <x:v>0</x:v>
      </x:c>
      <x:c r="R8" s="4" t="n">
        <x:v>7.4</x:v>
      </x:c>
    </x:row>
    <x:row r="9" ht="24" customHeight="1">
      <x:c r="A9" s="1" t="str">
        <x:v>C008</x:v>
      </x:c>
      <x:c r="B9" s="1" t="str">
        <x:v>General</x:v>
      </x:c>
      <x:c r="C9" s="1" t="n">
        <x:v>2</x:v>
      </x:c>
      <x:c r="D9" s="1" t="n">
        <x:v>80</x:v>
      </x:c>
      <x:c r="E9" s="1" t="n">
        <x:v>175</x:v>
      </x:c>
      <x:c r="F9" s="1" t="n">
        <x:v>25</x:v>
      </x:c>
      <x:c r="G9" s="1" t="n">
        <x:v>200</x:v>
      </x:c>
      <x:c r="H9" s="1" t="n">
        <x:v>1</x:v>
      </x:c>
      <x:c r="I9" s="1" t="n">
        <x:v>5</x:v>
      </x:c>
      <x:c r="J9" s="1" t="n">
        <x:v>0</x:v>
      </x:c>
      <x:c r="K9" s="1" t="str"/>
      <x:c r="L9" s="1" t="str"/>
      <x:c r="M9" s="1" t="str">
        <x:v>R3</x:v>
      </x:c>
      <x:c r="N9" s="1" t="n">
        <x:v>4</x:v>
      </x:c>
      <x:c r="O9" s="1" t="n">
        <x:v>0</x:v>
      </x:c>
      <x:c r="P9" s="1" t="n">
        <x:v>1</x:v>
      </x:c>
      <x:c r="Q9" s="4" t="n">
        <x:v>0</x:v>
      </x:c>
      <x:c r="R9" s="4" t="n">
        <x:v>8.2</x:v>
      </x:c>
    </x:row>
    <x:row r="10" ht="24" customHeight="1">
      <x:c r="A10" s="1" t="str">
        <x:v>C009</x:v>
      </x:c>
      <x:c r="B10" s="1" t="str">
        <x:v>General</x:v>
      </x:c>
      <x:c r="C10" s="1" t="n">
        <x:v>1</x:v>
      </x:c>
      <x:c r="D10" s="1" t="n">
        <x:v>76</x:v>
      </x:c>
      <x:c r="E10" s="1" t="n">
        <x:v>110</x:v>
      </x:c>
      <x:c r="F10" s="1" t="n">
        <x:v>25</x:v>
      </x:c>
      <x:c r="G10" s="1" t="n">
        <x:v>135</x:v>
      </x:c>
      <x:c r="H10" s="1" t="n">
        <x:v>1</x:v>
      </x:c>
      <x:c r="I10" s="1" t="n">
        <x:v>3</x:v>
      </x:c>
      <x:c r="J10" s="1" t="n">
        <x:v>1</x:v>
      </x:c>
      <x:c r="K10" s="1" t="str">
        <x:v>R1</x:v>
      </x:c>
      <x:c r="L10" s="1" t="n">
        <x:v>2</x:v>
      </x:c>
      <x:c r="M10" s="1" t="str">
        <x:v>R3</x:v>
      </x:c>
      <x:c r="N10" s="1" t="n">
        <x:v>1</x:v>
      </x:c>
      <x:c r="O10" s="1" t="n">
        <x:v>1</x:v>
      </x:c>
      <x:c r="P10" s="1" t="n">
        <x:v>1</x:v>
      </x:c>
      <x:c r="Q10" s="4" t="n">
        <x:v>15.04</x:v>
      </x:c>
      <x:c r="R10" s="4" t="n">
        <x:v>15.04</x:v>
      </x:c>
    </x:row>
    <x:row r="11" ht="24" customHeight="1">
      <x:c r="A11" s="1" t="str">
        <x:v>C010</x:v>
      </x:c>
      <x:c r="B11" s="1" t="str">
        <x:v>General</x:v>
      </x:c>
      <x:c r="C11" s="1" t="n">
        <x:v>3</x:v>
      </x:c>
      <x:c r="D11" s="1" t="n">
        <x:v>27</x:v>
      </x:c>
      <x:c r="E11" s="1" t="n">
        <x:v>120</x:v>
      </x:c>
      <x:c r="F11" s="1" t="n">
        <x:v>25</x:v>
      </x:c>
      <x:c r="G11" s="1" t="n">
        <x:v>145</x:v>
      </x:c>
      <x:c r="H11" s="1" t="n">
        <x:v>1</x:v>
      </x:c>
      <x:c r="I11" s="1" t="n">
        <x:v>5</x:v>
      </x:c>
      <x:c r="J11" s="1" t="n">
        <x:v>1</x:v>
      </x:c>
      <x:c r="K11" s="1" t="str"/>
      <x:c r="L11" s="1" t="str"/>
      <x:c r="M11" s="1" t="str"/>
      <x:c r="N11" s="1" t="str"/>
      <x:c r="O11" s="1" t="n">
        <x:v>0</x:v>
      </x:c>
      <x:c r="P11" s="1" t="n">
        <x:v>0</x:v>
      </x:c>
      <x:c r="Q11" s="4" t="n">
        <x:v>0</x:v>
      </x:c>
      <x:c r="R11" s="4" t="n">
        <x:v>0</x:v>
      </x:c>
    </x:row>
    <x:row r="12" ht="24" customHeight="1">
      <x:c r="A12" s="1" t="str">
        <x:v>C011</x:v>
      </x:c>
      <x:c r="B12" s="1" t="str">
        <x:v>General</x:v>
      </x:c>
      <x:c r="C12" s="1" t="n">
        <x:v>1</x:v>
      </x:c>
      <x:c r="D12" s="1" t="n">
        <x:v>68</x:v>
      </x:c>
      <x:c r="E12" s="1" t="n">
        <x:v>130</x:v>
      </x:c>
      <x:c r="F12" s="1" t="n">
        <x:v>25</x:v>
      </x:c>
      <x:c r="G12" s="1" t="n">
        <x:v>155</x:v>
      </x:c>
      <x:c r="H12" s="1" t="n">
        <x:v>1</x:v>
      </x:c>
      <x:c r="I12" s="1" t="n">
        <x:v>3</x:v>
      </x:c>
      <x:c r="J12" s="1" t="n">
        <x:v>0</x:v>
      </x:c>
      <x:c r="K12" s="1" t="str">
        <x:v>R1</x:v>
      </x:c>
      <x:c r="L12" s="1" t="n">
        <x:v>1</x:v>
      </x:c>
      <x:c r="M12" s="1" t="str">
        <x:v>R4</x:v>
      </x:c>
      <x:c r="N12" s="1" t="n">
        <x:v>3</x:v>
      </x:c>
      <x:c r="O12" s="1" t="n">
        <x:v>1</x:v>
      </x:c>
      <x:c r="P12" s="1" t="n">
        <x:v>1</x:v>
      </x:c>
      <x:c r="Q12" s="4" t="n">
        <x:v>14.719999999999999</x:v>
      </x:c>
      <x:c r="R12" s="4" t="n">
        <x:v>14.719999999999999</x:v>
      </x:c>
    </x:row>
    <x:row r="13" ht="24" customHeight="1">
      <x:c r="A13" s="1" t="str">
        <x:v>C012</x:v>
      </x:c>
      <x:c r="B13" s="1" t="str">
        <x:v>General</x:v>
      </x:c>
      <x:c r="C13" s="1" t="n">
        <x:v>2</x:v>
      </x:c>
      <x:c r="D13" s="1" t="n">
        <x:v>70</x:v>
      </x:c>
      <x:c r="E13" s="1" t="n">
        <x:v>120</x:v>
      </x:c>
      <x:c r="F13" s="1" t="n">
        <x:v>25</x:v>
      </x:c>
      <x:c r="G13" s="1" t="n">
        <x:v>145</x:v>
      </x:c>
      <x:c r="H13" s="1" t="n">
        <x:v>1</x:v>
      </x:c>
      <x:c r="I13" s="1" t="n">
        <x:v>5</x:v>
      </x:c>
      <x:c r="J13" s="1" t="n">
        <x:v>1</x:v>
      </x:c>
      <x:c r="K13" s="1" t="str">
        <x:v>R1</x:v>
      </x:c>
      <x:c r="L13" s="1" t="n">
        <x:v>5</x:v>
      </x:c>
      <x:c r="M13" s="1" t="str">
        <x:v>R2</x:v>
      </x:c>
      <x:c r="N13" s="1" t="n">
        <x:v>5</x:v>
      </x:c>
      <x:c r="O13" s="1" t="n">
        <x:v>1</x:v>
      </x:c>
      <x:c r="P13" s="1" t="n">
        <x:v>1</x:v>
      </x:c>
      <x:c r="Q13" s="4" t="n">
        <x:v>7.800000000000001</x:v>
      </x:c>
      <x:c r="R13" s="4" t="n">
        <x:v>7.800000000000001</x:v>
      </x:c>
    </x:row>
    <x:row r="14" ht="24" customHeight="1">
      <x:c r="A14" s="1" t="str">
        <x:v>C013</x:v>
      </x:c>
      <x:c r="B14" s="1" t="str">
        <x:v>General</x:v>
      </x:c>
      <x:c r="C14" s="1" t="n">
        <x:v>1</x:v>
      </x:c>
      <x:c r="D14" s="1" t="n">
        <x:v>84</x:v>
      </x:c>
      <x:c r="E14" s="1" t="n">
        <x:v>110</x:v>
      </x:c>
      <x:c r="F14" s="1" t="n">
        <x:v>25</x:v>
      </x:c>
      <x:c r="G14" s="1" t="n">
        <x:v>135</x:v>
      </x:c>
      <x:c r="H14" s="1" t="n">
        <x:v>1</x:v>
      </x:c>
      <x:c r="I14" s="1" t="n">
        <x:v>3</x:v>
      </x:c>
      <x:c r="J14" s="1" t="n">
        <x:v>1</x:v>
      </x:c>
      <x:c r="K14" s="1" t="str">
        <x:v>R1</x:v>
      </x:c>
      <x:c r="L14" s="1" t="n">
        <x:v>1</x:v>
      </x:c>
      <x:c r="M14" s="1" t="str">
        <x:v>R1</x:v>
      </x:c>
      <x:c r="N14" s="1" t="n">
        <x:v>1</x:v>
      </x:c>
      <x:c r="O14" s="1" t="n">
        <x:v>1</x:v>
      </x:c>
      <x:c r="P14" s="1" t="n">
        <x:v>1</x:v>
      </x:c>
      <x:c r="Q14" s="4" t="n">
        <x:v>15.36</x:v>
      </x:c>
      <x:c r="R14" s="4" t="n">
        <x:v>15.36</x:v>
      </x:c>
    </x:row>
    <x:row r="15" ht="24" customHeight="1">
      <x:c r="A15" s="1" t="str">
        <x:v>C014</x:v>
      </x:c>
      <x:c r="B15" s="1" t="str">
        <x:v>General</x:v>
      </x:c>
      <x:c r="C15" s="1" t="n">
        <x:v>3</x:v>
      </x:c>
      <x:c r="D15" s="1" t="n">
        <x:v>39</x:v>
      </x:c>
      <x:c r="E15" s="1" t="n">
        <x:v>130</x:v>
      </x:c>
      <x:c r="F15" s="1" t="n">
        <x:v>25</x:v>
      </x:c>
      <x:c r="G15" s="1" t="n">
        <x:v>155</x:v>
      </x:c>
      <x:c r="H15" s="1" t="n">
        <x:v>1</x:v>
      </x:c>
      <x:c r="I15" s="1" t="n">
        <x:v>4</x:v>
      </x:c>
      <x:c r="J15" s="1" t="n">
        <x:v>1</x:v>
      </x:c>
      <x:c r="K15" s="1" t="str"/>
      <x:c r="L15" s="1" t="str"/>
      <x:c r="M15" s="1" t="str"/>
      <x:c r="N15" s="1" t="str"/>
      <x:c r="O15" s="1" t="n">
        <x:v>0</x:v>
      </x:c>
      <x:c r="P15" s="1" t="n">
        <x:v>0</x:v>
      </x:c>
      <x:c r="Q15" s="4" t="n">
        <x:v>0</x:v>
      </x:c>
      <x:c r="R15" s="4" t="n">
        <x:v>0</x:v>
      </x:c>
    </x:row>
    <x:row r="16" ht="24" customHeight="1">
      <x:c r="A16" s="1" t="str">
        <x:v>C015</x:v>
      </x:c>
      <x:c r="B16" s="1" t="str">
        <x:v>General</x:v>
      </x:c>
      <x:c r="C16" s="1" t="n">
        <x:v>2</x:v>
      </x:c>
      <x:c r="D16" s="1" t="n">
        <x:v>16</x:v>
      </x:c>
      <x:c r="E16" s="1" t="n">
        <x:v>120</x:v>
      </x:c>
      <x:c r="F16" s="1" t="n">
        <x:v>25</x:v>
      </x:c>
      <x:c r="G16" s="1" t="n">
        <x:v>145</x:v>
      </x:c>
      <x:c r="H16" s="1" t="n">
        <x:v>1</x:v>
      </x:c>
      <x:c r="I16" s="1" t="n">
        <x:v>5</x:v>
      </x:c>
      <x:c r="J16" s="1" t="n">
        <x:v>0</x:v>
      </x:c>
      <x:c r="K16" s="1" t="str">
        <x:v>R1</x:v>
      </x:c>
      <x:c r="L16" s="1" t="n">
        <x:v>5</x:v>
      </x:c>
      <x:c r="M16" s="1" t="str">
        <x:v>R2</x:v>
      </x:c>
      <x:c r="N16" s="1" t="n">
        <x:v>5</x:v>
      </x:c>
      <x:c r="O16" s="1" t="n">
        <x:v>1</x:v>
      </x:c>
      <x:c r="P16" s="1" t="n">
        <x:v>1</x:v>
      </x:c>
      <x:c r="Q16" s="4" t="n">
        <x:v>5.64</x:v>
      </x:c>
      <x:c r="R16" s="4" t="n">
        <x:v>5.64</x:v>
      </x:c>
    </x:row>
    <x:row r="17" ht="24" customHeight="1">
      <x:c r="A17" s="1" t="str">
        <x:v>C016</x:v>
      </x:c>
      <x:c r="B17" s="1" t="str">
        <x:v>General</x:v>
      </x:c>
      <x:c r="C17" s="1" t="n">
        <x:v>1</x:v>
      </x:c>
      <x:c r="D17" s="1" t="n">
        <x:v>84</x:v>
      </x:c>
      <x:c r="E17" s="1" t="n">
        <x:v>75</x:v>
      </x:c>
      <x:c r="F17" s="1" t="n">
        <x:v>25</x:v>
      </x:c>
      <x:c r="G17" s="1" t="n">
        <x:v>100</x:v>
      </x:c>
      <x:c r="H17" s="1" t="n">
        <x:v>1</x:v>
      </x:c>
      <x:c r="I17" s="1" t="n">
        <x:v>4</x:v>
      </x:c>
      <x:c r="J17" s="1" t="n">
        <x:v>0</x:v>
      </x:c>
      <x:c r="K17" s="1" t="str">
        <x:v>R1</x:v>
      </x:c>
      <x:c r="L17" s="1" t="n">
        <x:v>4</x:v>
      </x:c>
      <x:c r="M17" s="1" t="str">
        <x:v>R3</x:v>
      </x:c>
      <x:c r="N17" s="1" t="n">
        <x:v>4</x:v>
      </x:c>
      <x:c r="O17" s="1" t="n">
        <x:v>1</x:v>
      </x:c>
      <x:c r="P17" s="1" t="n">
        <x:v>1</x:v>
      </x:c>
      <x:c r="Q17" s="4" t="n">
        <x:v>15.36</x:v>
      </x:c>
      <x:c r="R17" s="4" t="n">
        <x:v>15.36</x:v>
      </x:c>
    </x:row>
    <x:row r="18" ht="24" customHeight="1">
      <x:c r="A18" s="1" t="str">
        <x:v>C017</x:v>
      </x:c>
      <x:c r="B18" s="1" t="str">
        <x:v>General</x:v>
      </x:c>
      <x:c r="C18" s="1" t="n">
        <x:v>1</x:v>
      </x:c>
      <x:c r="D18" s="1" t="n">
        <x:v>65</x:v>
      </x:c>
      <x:c r="E18" s="1" t="n">
        <x:v>130</x:v>
      </x:c>
      <x:c r="F18" s="1" t="n">
        <x:v>25</x:v>
      </x:c>
      <x:c r="G18" s="1" t="n">
        <x:v>155</x:v>
      </x:c>
      <x:c r="H18" s="1" t="n">
        <x:v>1</x:v>
      </x:c>
      <x:c r="I18" s="1" t="n">
        <x:v>3</x:v>
      </x:c>
      <x:c r="J18" s="1" t="n">
        <x:v>1</x:v>
      </x:c>
      <x:c r="K18" s="1" t="str">
        <x:v>R1</x:v>
      </x:c>
      <x:c r="L18" s="1" t="n">
        <x:v>3</x:v>
      </x:c>
      <x:c r="M18" s="1" t="str">
        <x:v>R1</x:v>
      </x:c>
      <x:c r="N18" s="1" t="n">
        <x:v>1</x:v>
      </x:c>
      <x:c r="O18" s="1" t="n">
        <x:v>1</x:v>
      </x:c>
      <x:c r="P18" s="1" t="n">
        <x:v>1</x:v>
      </x:c>
      <x:c r="Q18" s="4" t="n">
        <x:v>14.6</x:v>
      </x:c>
      <x:c r="R18" s="4" t="n">
        <x:v>14.6</x:v>
      </x:c>
    </x:row>
    <x:row r="19" ht="24" customHeight="1">
      <x:c r="A19" s="1" t="str">
        <x:v>C018</x:v>
      </x:c>
      <x:c r="B19" s="1" t="str">
        <x:v>General</x:v>
      </x:c>
      <x:c r="C19" s="1" t="n">
        <x:v>3</x:v>
      </x:c>
      <x:c r="D19" s="1" t="n">
        <x:v>56</x:v>
      </x:c>
      <x:c r="E19" s="1" t="n">
        <x:v>140</x:v>
      </x:c>
      <x:c r="F19" s="1" t="n">
        <x:v>25</x:v>
      </x:c>
      <x:c r="G19" s="1" t="n">
        <x:v>165</x:v>
      </x:c>
      <x:c r="H19" s="1" t="n">
        <x:v>1</x:v>
      </x:c>
      <x:c r="I19" s="1" t="n">
        <x:v>3</x:v>
      </x:c>
      <x:c r="J19" s="1" t="n">
        <x:v>1</x:v>
      </x:c>
      <x:c r="K19" s="1" t="str"/>
      <x:c r="L19" s="1" t="str"/>
      <x:c r="M19" s="1" t="str"/>
      <x:c r="N19" s="1" t="str"/>
      <x:c r="O19" s="1" t="n">
        <x:v>0</x:v>
      </x:c>
      <x:c r="P19" s="1" t="n">
        <x:v>0</x:v>
      </x:c>
      <x:c r="Q19" s="4" t="n">
        <x:v>0</x:v>
      </x:c>
      <x:c r="R19" s="4" t="n">
        <x:v>0</x:v>
      </x:c>
    </x:row>
    <x:row r="20" ht="24" customHeight="1">
      <x:c r="A20" s="1" t="str">
        <x:v>C019</x:v>
      </x:c>
      <x:c r="B20" s="1" t="str">
        <x:v>General</x:v>
      </x:c>
      <x:c r="C20" s="1" t="n">
        <x:v>3</x:v>
      </x:c>
      <x:c r="D20" s="1" t="n">
        <x:v>55</x:v>
      </x:c>
      <x:c r="E20" s="1" t="n">
        <x:v>105</x:v>
      </x:c>
      <x:c r="F20" s="1" t="n">
        <x:v>25</x:v>
      </x:c>
      <x:c r="G20" s="1" t="n">
        <x:v>130</x:v>
      </x:c>
      <x:c r="H20" s="1" t="n">
        <x:v>1</x:v>
      </x:c>
      <x:c r="I20" s="1" t="n">
        <x:v>5</x:v>
      </x:c>
      <x:c r="J20" s="1" t="n">
        <x:v>1</x:v>
      </x:c>
      <x:c r="K20" s="1" t="str">
        <x:v>R1</x:v>
      </x:c>
      <x:c r="L20" s="1" t="n">
        <x:v>5</x:v>
      </x:c>
      <x:c r="M20" s="1" t="str">
        <x:v>R2</x:v>
      </x:c>
      <x:c r="N20" s="1" t="n">
        <x:v>5</x:v>
      </x:c>
      <x:c r="O20" s="1" t="n">
        <x:v>1</x:v>
      </x:c>
      <x:c r="P20" s="1" t="n">
        <x:v>1</x:v>
      </x:c>
      <x:c r="Q20" s="4" t="n">
        <x:v>4.199999999999999</x:v>
      </x:c>
      <x:c r="R20" s="4" t="n">
        <x:v>4.199999999999999</x:v>
      </x:c>
    </x:row>
    <x:row r="21" ht="24" customHeight="1">
      <x:c r="A21" s="1" t="str">
        <x:v>C020</x:v>
      </x:c>
      <x:c r="B21" s="1" t="str">
        <x:v>General</x:v>
      </x:c>
      <x:c r="C21" s="1" t="n">
        <x:v>1</x:v>
      </x:c>
      <x:c r="D21" s="1" t="n">
        <x:v>57</x:v>
      </x:c>
      <x:c r="E21" s="1" t="n">
        <x:v>130</x:v>
      </x:c>
      <x:c r="F21" s="1" t="n">
        <x:v>25</x:v>
      </x:c>
      <x:c r="G21" s="1" t="n">
        <x:v>155</x:v>
      </x:c>
      <x:c r="H21" s="1" t="n">
        <x:v>1</x:v>
      </x:c>
      <x:c r="I21" s="1" t="n">
        <x:v>2</x:v>
      </x:c>
      <x:c r="J21" s="1" t="n">
        <x:v>0</x:v>
      </x:c>
      <x:c r="K21" s="1" t="str">
        <x:v>R1</x:v>
      </x:c>
      <x:c r="L21" s="1" t="n">
        <x:v>2</x:v>
      </x:c>
      <x:c r="M21" s="1" t="str">
        <x:v>R3</x:v>
      </x:c>
      <x:c r="N21" s="1" t="n">
        <x:v>1</x:v>
      </x:c>
      <x:c r="O21" s="1" t="n">
        <x:v>1</x:v>
      </x:c>
      <x:c r="P21" s="1" t="n">
        <x:v>1</x:v>
      </x:c>
      <x:c r="Q21" s="4" t="n">
        <x:v>14.28</x:v>
      </x:c>
      <x:c r="R21" s="4" t="n">
        <x:v>14.28</x:v>
      </x:c>
    </x:row>
    <x:row r="22" ht="24" customHeight="1">
      <x:c r="A22" s="1" t="str">
        <x:v>C021</x:v>
      </x:c>
      <x:c r="B22" s="1" t="str">
        <x:v>General</x:v>
      </x:c>
      <x:c r="C22" s="1" t="n">
        <x:v>1</x:v>
      </x:c>
      <x:c r="D22" s="1" t="n">
        <x:v>22</x:v>
      </x:c>
      <x:c r="E22" s="1" t="n">
        <x:v>100</x:v>
      </x:c>
      <x:c r="F22" s="1" t="n">
        <x:v>25</x:v>
      </x:c>
      <x:c r="G22" s="1" t="n">
        <x:v>125</x:v>
      </x:c>
      <x:c r="H22" s="1" t="n">
        <x:v>2</x:v>
      </x:c>
      <x:c r="I22" s="1" t="n">
        <x:v>4</x:v>
      </x:c>
      <x:c r="J22" s="1" t="n">
        <x:v>0</x:v>
      </x:c>
      <x:c r="K22" s="1" t="str">
        <x:v>R1</x:v>
      </x:c>
      <x:c r="L22" s="1" t="n">
        <x:v>2</x:v>
      </x:c>
      <x:c r="M22" s="1" t="str">
        <x:v>R4</x:v>
      </x:c>
      <x:c r="N22" s="1" t="n">
        <x:v>3</x:v>
      </x:c>
      <x:c r="O22" s="1" t="n">
        <x:v>1</x:v>
      </x:c>
      <x:c r="P22" s="1" t="n">
        <x:v>1</x:v>
      </x:c>
      <x:c r="Q22" s="4" t="n">
        <x:v>12.879999999999999</x:v>
      </x:c>
      <x:c r="R22" s="4" t="n">
        <x:v>12.879999999999999</x:v>
      </x:c>
    </x:row>
    <x:row r="23" ht="24" customHeight="1">
      <x:c r="A23" s="1" t="str">
        <x:v>C022</x:v>
      </x:c>
      <x:c r="B23" s="1" t="str">
        <x:v>General</x:v>
      </x:c>
      <x:c r="C23" s="1" t="n">
        <x:v>3</x:v>
      </x:c>
      <x:c r="D23" s="1" t="n">
        <x:v>17</x:v>
      </x:c>
      <x:c r="E23" s="1" t="n">
        <x:v>170</x:v>
      </x:c>
      <x:c r="F23" s="1" t="n">
        <x:v>25</x:v>
      </x:c>
      <x:c r="G23" s="1" t="n">
        <x:v>195</x:v>
      </x:c>
      <x:c r="H23" s="1" t="n">
        <x:v>1</x:v>
      </x:c>
      <x:c r="I23" s="1" t="n">
        <x:v>4</x:v>
      </x:c>
      <x:c r="J23" s="1" t="n">
        <x:v>0</x:v>
      </x:c>
      <x:c r="K23" s="1" t="str"/>
      <x:c r="L23" s="1" t="str"/>
      <x:c r="M23" s="1" t="str"/>
      <x:c r="N23" s="1" t="str"/>
      <x:c r="O23" s="1" t="n">
        <x:v>0</x:v>
      </x:c>
      <x:c r="P23" s="1" t="n">
        <x:v>0</x:v>
      </x:c>
      <x:c r="Q23" s="4" t="n">
        <x:v>0</x:v>
      </x:c>
      <x:c r="R23" s="4" t="n">
        <x:v>0</x:v>
      </x:c>
    </x:row>
    <x:row r="24" ht="24" customHeight="1">
      <x:c r="A24" s="1" t="str">
        <x:v>C023</x:v>
      </x:c>
      <x:c r="B24" s="1" t="str">
        <x:v>General</x:v>
      </x:c>
      <x:c r="C24" s="1" t="n">
        <x:v>1</x:v>
      </x:c>
      <x:c r="D24" s="1" t="n">
        <x:v>71</x:v>
      </x:c>
      <x:c r="E24" s="1" t="n">
        <x:v>55</x:v>
      </x:c>
      <x:c r="F24" s="1" t="n">
        <x:v>25</x:v>
      </x:c>
      <x:c r="G24" s="1" t="n">
        <x:v>80</x:v>
      </x:c>
      <x:c r="H24" s="1" t="n">
        <x:v>2</x:v>
      </x:c>
      <x:c r="I24" s="1" t="n">
        <x:v>4</x:v>
      </x:c>
      <x:c r="J24" s="1" t="n">
        <x:v>1</x:v>
      </x:c>
      <x:c r="K24" s="1" t="str">
        <x:v>R1</x:v>
      </x:c>
      <x:c r="L24" s="1" t="n">
        <x:v>3</x:v>
      </x:c>
      <x:c r="M24" s="1" t="str">
        <x:v>R3</x:v>
      </x:c>
      <x:c r="N24" s="1" t="n">
        <x:v>4</x:v>
      </x:c>
      <x:c r="O24" s="1" t="n">
        <x:v>1</x:v>
      </x:c>
      <x:c r="P24" s="1" t="n">
        <x:v>1</x:v>
      </x:c>
      <x:c r="Q24" s="4" t="n">
        <x:v>14.84</x:v>
      </x:c>
      <x:c r="R24" s="4" t="n">
        <x:v>14.84</x:v>
      </x:c>
    </x:row>
    <x:row r="25" ht="24" customHeight="1">
      <x:c r="A25" s="1" t="str">
        <x:v>C024</x:v>
      </x:c>
      <x:c r="B25" s="1" t="str">
        <x:v>General</x:v>
      </x:c>
      <x:c r="C25" s="1" t="n">
        <x:v>3</x:v>
      </x:c>
      <x:c r="D25" s="1" t="n">
        <x:v>65</x:v>
      </x:c>
      <x:c r="E25" s="1" t="n">
        <x:v>125</x:v>
      </x:c>
      <x:c r="F25" s="1" t="n">
        <x:v>25</x:v>
      </x:c>
      <x:c r="G25" s="1" t="n">
        <x:v>150</x:v>
      </x:c>
      <x:c r="H25" s="1" t="n">
        <x:v>1</x:v>
      </x:c>
      <x:c r="I25" s="1" t="n">
        <x:v>5</x:v>
      </x:c>
      <x:c r="J25" s="1" t="n">
        <x:v>1</x:v>
      </x:c>
      <x:c r="K25" s="1" t="str">
        <x:v>R1</x:v>
      </x:c>
      <x:c r="L25" s="1" t="n">
        <x:v>4</x:v>
      </x:c>
      <x:c r="M25" s="1" t="str"/>
      <x:c r="N25" s="1" t="str"/>
      <x:c r="O25" s="1" t="n">
        <x:v>1</x:v>
      </x:c>
      <x:c r="P25" s="1" t="n">
        <x:v>0</x:v>
      </x:c>
      <x:c r="Q25" s="4" t="n">
        <x:v>4.6</x:v>
      </x:c>
      <x:c r="R25" s="4" t="n">
        <x:v>0</x:v>
      </x:c>
    </x:row>
    <x:row r="26" ht="24" customHeight="1">
      <x:c r="A26" s="1" t="str">
        <x:v>C025</x:v>
      </x:c>
      <x:c r="B26" s="1" t="str">
        <x:v>Orthopedics</x:v>
      </x:c>
      <x:c r="C26" s="1" t="n">
        <x:v>2</x:v>
      </x:c>
      <x:c r="D26" s="1" t="n">
        <x:v>69</x:v>
      </x:c>
      <x:c r="E26" s="1" t="n">
        <x:v>120</x:v>
      </x:c>
      <x:c r="F26" s="1" t="n">
        <x:v>25</x:v>
      </x:c>
      <x:c r="G26" s="1" t="n">
        <x:v>145</x:v>
      </x:c>
      <x:c r="H26" s="1" t="n">
        <x:v>1</x:v>
      </x:c>
      <x:c r="I26" s="1" t="n">
        <x:v>5</x:v>
      </x:c>
      <x:c r="J26" s="1" t="n">
        <x:v>1</x:v>
      </x:c>
      <x:c r="K26" s="1" t="str">
        <x:v>R3</x:v>
      </x:c>
      <x:c r="L26" s="1" t="n">
        <x:v>2</x:v>
      </x:c>
      <x:c r="M26" s="1" t="str">
        <x:v>R3</x:v>
      </x:c>
      <x:c r="N26" s="1" t="n">
        <x:v>2</x:v>
      </x:c>
      <x:c r="O26" s="1" t="n">
        <x:v>1</x:v>
      </x:c>
      <x:c r="P26" s="1" t="n">
        <x:v>1</x:v>
      </x:c>
      <x:c r="Q26" s="4" t="n">
        <x:v>7.76</x:v>
      </x:c>
      <x:c r="R26" s="4" t="n">
        <x:v>7.76</x:v>
      </x:c>
    </x:row>
    <x:row r="27" ht="24" customHeight="1">
      <x:c r="A27" s="1" t="str">
        <x:v>C026</x:v>
      </x:c>
      <x:c r="B27" s="1" t="str">
        <x:v>Orthopedics</x:v>
      </x:c>
      <x:c r="C27" s="1" t="n">
        <x:v>2</x:v>
      </x:c>
      <x:c r="D27" s="1" t="n">
        <x:v>70</x:v>
      </x:c>
      <x:c r="E27" s="1" t="n">
        <x:v>90</x:v>
      </x:c>
      <x:c r="F27" s="1" t="n">
        <x:v>25</x:v>
      </x:c>
      <x:c r="G27" s="1" t="n">
        <x:v>115</x:v>
      </x:c>
      <x:c r="H27" s="1" t="n">
        <x:v>1</x:v>
      </x:c>
      <x:c r="I27" s="1" t="n">
        <x:v>3</x:v>
      </x:c>
      <x:c r="J27" s="1" t="n">
        <x:v>1</x:v>
      </x:c>
      <x:c r="K27" s="1" t="str">
        <x:v>R3</x:v>
      </x:c>
      <x:c r="L27" s="1" t="n">
        <x:v>2</x:v>
      </x:c>
      <x:c r="M27" s="1" t="str">
        <x:v>R3</x:v>
      </x:c>
      <x:c r="N27" s="1" t="n">
        <x:v>2</x:v>
      </x:c>
      <x:c r="O27" s="1" t="n">
        <x:v>1</x:v>
      </x:c>
      <x:c r="P27" s="1" t="n">
        <x:v>1</x:v>
      </x:c>
      <x:c r="Q27" s="4" t="n">
        <x:v>7.800000000000001</x:v>
      </x:c>
      <x:c r="R27" s="4" t="n">
        <x:v>7.800000000000001</x:v>
      </x:c>
    </x:row>
    <x:row r="28" ht="24" customHeight="1">
      <x:c r="A28" s="1" t="str">
        <x:v>C027</x:v>
      </x:c>
      <x:c r="B28" s="1" t="str">
        <x:v>Orthopedics</x:v>
      </x:c>
      <x:c r="C28" s="1" t="n">
        <x:v>3</x:v>
      </x:c>
      <x:c r="D28" s="1" t="n">
        <x:v>25</x:v>
      </x:c>
      <x:c r="E28" s="1" t="n">
        <x:v>205</x:v>
      </x:c>
      <x:c r="F28" s="1" t="n">
        <x:v>25</x:v>
      </x:c>
      <x:c r="G28" s="1" t="n">
        <x:v>230</x:v>
      </x:c>
      <x:c r="H28" s="1" t="n">
        <x:v>1</x:v>
      </x:c>
      <x:c r="I28" s="1" t="n">
        <x:v>3</x:v>
      </x:c>
      <x:c r="J28" s="1" t="n">
        <x:v>1</x:v>
      </x:c>
      <x:c r="K28" s="1" t="str"/>
      <x:c r="L28" s="1" t="str"/>
      <x:c r="M28" s="1" t="str"/>
      <x:c r="N28" s="1" t="str"/>
      <x:c r="O28" s="1" t="n">
        <x:v>0</x:v>
      </x:c>
      <x:c r="P28" s="1" t="n">
        <x:v>0</x:v>
      </x:c>
      <x:c r="Q28" s="4" t="n">
        <x:v>0</x:v>
      </x:c>
      <x:c r="R28" s="4" t="n">
        <x:v>0</x:v>
      </x:c>
    </x:row>
    <x:row r="29" ht="24" customHeight="1">
      <x:c r="A29" s="1" t="str">
        <x:v>C028</x:v>
      </x:c>
      <x:c r="B29" s="1" t="str">
        <x:v>Orthopedics</x:v>
      </x:c>
      <x:c r="C29" s="1" t="n">
        <x:v>2</x:v>
      </x:c>
      <x:c r="D29" s="1" t="n">
        <x:v>45</x:v>
      </x:c>
      <x:c r="E29" s="1" t="n">
        <x:v>130</x:v>
      </x:c>
      <x:c r="F29" s="1" t="n">
        <x:v>25</x:v>
      </x:c>
      <x:c r="G29" s="1" t="n">
        <x:v>155</x:v>
      </x:c>
      <x:c r="H29" s="1" t="n">
        <x:v>1</x:v>
      </x:c>
      <x:c r="I29" s="1" t="n">
        <x:v>4</x:v>
      </x:c>
      <x:c r="J29" s="1" t="n">
        <x:v>1</x:v>
      </x:c>
      <x:c r="K29" s="1" t="str">
        <x:v>R3</x:v>
      </x:c>
      <x:c r="L29" s="1" t="n">
        <x:v>2</x:v>
      </x:c>
      <x:c r="M29" s="1" t="str">
        <x:v>R3</x:v>
      </x:c>
      <x:c r="N29" s="1" t="n">
        <x:v>2</x:v>
      </x:c>
      <x:c r="O29" s="1" t="n">
        <x:v>1</x:v>
      </x:c>
      <x:c r="P29" s="1" t="n">
        <x:v>1</x:v>
      </x:c>
      <x:c r="Q29" s="4" t="n">
        <x:v>6.8</x:v>
      </x:c>
      <x:c r="R29" s="4" t="n">
        <x:v>6.8</x:v>
      </x:c>
    </x:row>
    <x:row r="30" ht="24" customHeight="1">
      <x:c r="A30" s="1" t="str">
        <x:v>C029</x:v>
      </x:c>
      <x:c r="B30" s="1" t="str">
        <x:v>Orthopedics</x:v>
      </x:c>
      <x:c r="C30" s="1" t="n">
        <x:v>1</x:v>
      </x:c>
      <x:c r="D30" s="1" t="n">
        <x:v>57</x:v>
      </x:c>
      <x:c r="E30" s="1" t="n">
        <x:v>145</x:v>
      </x:c>
      <x:c r="F30" s="1" t="n">
        <x:v>25</x:v>
      </x:c>
      <x:c r="G30" s="1" t="n">
        <x:v>170</x:v>
      </x:c>
      <x:c r="H30" s="1" t="n">
        <x:v>1</x:v>
      </x:c>
      <x:c r="I30" s="1" t="n">
        <x:v>3</x:v>
      </x:c>
      <x:c r="J30" s="1" t="n">
        <x:v>1</x:v>
      </x:c>
      <x:c r="K30" s="1" t="str">
        <x:v>R3</x:v>
      </x:c>
      <x:c r="L30" s="1" t="n">
        <x:v>1</x:v>
      </x:c>
      <x:c r="M30" s="1" t="str">
        <x:v>R3</x:v>
      </x:c>
      <x:c r="N30" s="1" t="n">
        <x:v>3</x:v>
      </x:c>
      <x:c r="O30" s="1" t="n">
        <x:v>1</x:v>
      </x:c>
      <x:c r="P30" s="1" t="n">
        <x:v>1</x:v>
      </x:c>
      <x:c r="Q30" s="4" t="n">
        <x:v>14.28</x:v>
      </x:c>
      <x:c r="R30" s="4" t="n">
        <x:v>14.28</x:v>
      </x:c>
    </x:row>
    <x:row r="31" ht="24" customHeight="1">
      <x:c r="A31" s="1" t="str">
        <x:v>C030</x:v>
      </x:c>
      <x:c r="B31" s="1" t="str">
        <x:v>Orthopedics</x:v>
      </x:c>
      <x:c r="C31" s="1" t="n">
        <x:v>2</x:v>
      </x:c>
      <x:c r="D31" s="1" t="n">
        <x:v>82</x:v>
      </x:c>
      <x:c r="E31" s="1" t="n">
        <x:v>185</x:v>
      </x:c>
      <x:c r="F31" s="1" t="n">
        <x:v>25</x:v>
      </x:c>
      <x:c r="G31" s="1" t="n">
        <x:v>210</x:v>
      </x:c>
      <x:c r="H31" s="1" t="n">
        <x:v>3</x:v>
      </x:c>
      <x:c r="I31" s="1" t="n">
        <x:v>5</x:v>
      </x:c>
      <x:c r="J31" s="1" t="n">
        <x:v>1</x:v>
      </x:c>
      <x:c r="K31" s="1" t="str">
        <x:v>R3</x:v>
      </x:c>
      <x:c r="L31" s="1" t="n">
        <x:v>3</x:v>
      </x:c>
      <x:c r="M31" s="1" t="str">
        <x:v>R3</x:v>
      </x:c>
      <x:c r="N31" s="1" t="n">
        <x:v>5</x:v>
      </x:c>
      <x:c r="O31" s="1" t="n">
        <x:v>1</x:v>
      </x:c>
      <x:c r="P31" s="1" t="n">
        <x:v>1</x:v>
      </x:c>
      <x:c r="Q31" s="4" t="n">
        <x:v>8.28</x:v>
      </x:c>
      <x:c r="R31" s="4" t="n">
        <x:v>8.28</x:v>
      </x:c>
    </x:row>
    <x:row r="32" ht="24" customHeight="1">
      <x:c r="A32" s="1" t="str">
        <x:v>C031</x:v>
      </x:c>
      <x:c r="B32" s="1" t="str">
        <x:v>Orthopedics</x:v>
      </x:c>
      <x:c r="C32" s="1" t="n">
        <x:v>2</x:v>
      </x:c>
      <x:c r="D32" s="1" t="n">
        <x:v>69</x:v>
      </x:c>
      <x:c r="E32" s="1" t="n">
        <x:v>165</x:v>
      </x:c>
      <x:c r="F32" s="1" t="n">
        <x:v>25</x:v>
      </x:c>
      <x:c r="G32" s="1" t="n">
        <x:v>190</x:v>
      </x:c>
      <x:c r="H32" s="1" t="n">
        <x:v>2</x:v>
      </x:c>
      <x:c r="I32" s="1" t="n">
        <x:v>5</x:v>
      </x:c>
      <x:c r="J32" s="1" t="n">
        <x:v>1</x:v>
      </x:c>
      <x:c r="K32" s="1" t="str">
        <x:v>R3</x:v>
      </x:c>
      <x:c r="L32" s="1" t="n">
        <x:v>5</x:v>
      </x:c>
      <x:c r="M32" s="1" t="str">
        <x:v>R3</x:v>
      </x:c>
      <x:c r="N32" s="1" t="n">
        <x:v>5</x:v>
      </x:c>
      <x:c r="O32" s="1" t="n">
        <x:v>1</x:v>
      </x:c>
      <x:c r="P32" s="1" t="n">
        <x:v>1</x:v>
      </x:c>
      <x:c r="Q32" s="4" t="n">
        <x:v>7.76</x:v>
      </x:c>
      <x:c r="R32" s="4" t="n">
        <x:v>7.76</x:v>
      </x:c>
    </x:row>
    <x:row r="33" ht="24" customHeight="1">
      <x:c r="A33" s="1" t="str">
        <x:v>C032</x:v>
      </x:c>
      <x:c r="B33" s="1" t="str">
        <x:v>Orthopedics</x:v>
      </x:c>
      <x:c r="C33" s="1" t="n">
        <x:v>3</x:v>
      </x:c>
      <x:c r="D33" s="1" t="n">
        <x:v>72</x:v>
      </x:c>
      <x:c r="E33" s="1" t="n">
        <x:v>200</x:v>
      </x:c>
      <x:c r="F33" s="1" t="n">
        <x:v>25</x:v>
      </x:c>
      <x:c r="G33" s="1" t="n">
        <x:v>225</x:v>
      </x:c>
      <x:c r="H33" s="1" t="n">
        <x:v>2</x:v>
      </x:c>
      <x:c r="I33" s="1" t="n">
        <x:v>5</x:v>
      </x:c>
      <x:c r="J33" s="1" t="n">
        <x:v>1</x:v>
      </x:c>
      <x:c r="K33" s="1" t="str">
        <x:v>R3</x:v>
      </x:c>
      <x:c r="L33" s="1" t="n">
        <x:v>4</x:v>
      </x:c>
      <x:c r="M33" s="1" t="str"/>
      <x:c r="N33" s="1" t="str"/>
      <x:c r="O33" s="1" t="n">
        <x:v>1</x:v>
      </x:c>
      <x:c r="P33" s="1" t="n">
        <x:v>0</x:v>
      </x:c>
      <x:c r="Q33" s="4" t="n">
        <x:v>4.88</x:v>
      </x:c>
      <x:c r="R33" s="4" t="n">
        <x:v>0</x:v>
      </x:c>
    </x:row>
    <x:row r="34" ht="24" customHeight="1">
      <x:c r="A34" s="1" t="str">
        <x:v>C033</x:v>
      </x:c>
      <x:c r="B34" s="1" t="str">
        <x:v>Orthopedics</x:v>
      </x:c>
      <x:c r="C34" s="1" t="n">
        <x:v>3</x:v>
      </x:c>
      <x:c r="D34" s="1" t="n">
        <x:v>51</x:v>
      </x:c>
      <x:c r="E34" s="1" t="n">
        <x:v>180</x:v>
      </x:c>
      <x:c r="F34" s="1" t="n">
        <x:v>25</x:v>
      </x:c>
      <x:c r="G34" s="1" t="n">
        <x:v>205</x:v>
      </x:c>
      <x:c r="H34" s="1" t="n">
        <x:v>1</x:v>
      </x:c>
      <x:c r="I34" s="1" t="n">
        <x:v>5</x:v>
      </x:c>
      <x:c r="J34" s="1" t="n">
        <x:v>1</x:v>
      </x:c>
      <x:c r="K34" s="1" t="str">
        <x:v>R3</x:v>
      </x:c>
      <x:c r="L34" s="1" t="n">
        <x:v>3</x:v>
      </x:c>
      <x:c r="M34" s="1" t="str"/>
      <x:c r="N34" s="1" t="str"/>
      <x:c r="O34" s="1" t="n">
        <x:v>1</x:v>
      </x:c>
      <x:c r="P34" s="1" t="n">
        <x:v>0</x:v>
      </x:c>
      <x:c r="Q34" s="4" t="n">
        <x:v>4.04</x:v>
      </x:c>
      <x:c r="R34" s="4" t="n">
        <x:v>0</x:v>
      </x:c>
    </x:row>
    <x:row r="35" ht="24" customHeight="1">
      <x:c r="A35" s="1" t="str">
        <x:v>C034</x:v>
      </x:c>
      <x:c r="B35" s="1" t="str">
        <x:v>Orthopedics</x:v>
      </x:c>
      <x:c r="C35" s="1" t="n">
        <x:v>3</x:v>
      </x:c>
      <x:c r="D35" s="1" t="n">
        <x:v>30</x:v>
      </x:c>
      <x:c r="E35" s="1" t="n">
        <x:v>235</x:v>
      </x:c>
      <x:c r="F35" s="1" t="n">
        <x:v>25</x:v>
      </x:c>
      <x:c r="G35" s="1" t="n">
        <x:v>260</x:v>
      </x:c>
      <x:c r="H35" s="1" t="n">
        <x:v>1</x:v>
      </x:c>
      <x:c r="I35" s="1" t="n">
        <x:v>5</x:v>
      </x:c>
      <x:c r="J35" s="1" t="n">
        <x:v>1</x:v>
      </x:c>
      <x:c r="K35" s="1" t="str"/>
      <x:c r="L35" s="1" t="str"/>
      <x:c r="M35" s="1" t="str"/>
      <x:c r="N35" s="1" t="str"/>
      <x:c r="O35" s="1" t="n">
        <x:v>0</x:v>
      </x:c>
      <x:c r="P35" s="1" t="n">
        <x:v>0</x:v>
      </x:c>
      <x:c r="Q35" s="4" t="n">
        <x:v>0</x:v>
      </x:c>
      <x:c r="R35" s="4" t="n">
        <x:v>0</x:v>
      </x:c>
    </x:row>
    <x:row r="36" ht="24" customHeight="1">
      <x:c r="A36" s="1" t="str">
        <x:v>C035</x:v>
      </x:c>
      <x:c r="B36" s="1" t="str">
        <x:v>Orthopedics</x:v>
      </x:c>
      <x:c r="C36" s="1" t="n">
        <x:v>3</x:v>
      </x:c>
      <x:c r="D36" s="1" t="n">
        <x:v>59</x:v>
      </x:c>
      <x:c r="E36" s="1" t="n">
        <x:v>170</x:v>
      </x:c>
      <x:c r="F36" s="1" t="n">
        <x:v>25</x:v>
      </x:c>
      <x:c r="G36" s="1" t="n">
        <x:v>195</x:v>
      </x:c>
      <x:c r="H36" s="1" t="n">
        <x:v>1</x:v>
      </x:c>
      <x:c r="I36" s="1" t="n">
        <x:v>5</x:v>
      </x:c>
      <x:c r="J36" s="1" t="n">
        <x:v>1</x:v>
      </x:c>
      <x:c r="K36" s="1" t="str">
        <x:v>R3</x:v>
      </x:c>
      <x:c r="L36" s="1" t="n">
        <x:v>5</x:v>
      </x:c>
      <x:c r="M36" s="1" t="str"/>
      <x:c r="N36" s="1" t="str"/>
      <x:c r="O36" s="1" t="n">
        <x:v>1</x:v>
      </x:c>
      <x:c r="P36" s="1" t="n">
        <x:v>0</x:v>
      </x:c>
      <x:c r="Q36" s="4" t="n">
        <x:v>4.359999999999999</x:v>
      </x:c>
      <x:c r="R36" s="4" t="n">
        <x:v>0</x:v>
      </x:c>
    </x:row>
    <x:row r="37" ht="24" customHeight="1">
      <x:c r="A37" s="1" t="str">
        <x:v>C036</x:v>
      </x:c>
      <x:c r="B37" s="1" t="str">
        <x:v>Orthopedics</x:v>
      </x:c>
      <x:c r="C37" s="1" t="n">
        <x:v>3</x:v>
      </x:c>
      <x:c r="D37" s="1" t="n">
        <x:v>35</x:v>
      </x:c>
      <x:c r="E37" s="1" t="n">
        <x:v>220</x:v>
      </x:c>
      <x:c r="F37" s="1" t="n">
        <x:v>25</x:v>
      </x:c>
      <x:c r="G37" s="1" t="n">
        <x:v>245</x:v>
      </x:c>
      <x:c r="H37" s="1" t="n">
        <x:v>1</x:v>
      </x:c>
      <x:c r="I37" s="1" t="n">
        <x:v>5</x:v>
      </x:c>
      <x:c r="J37" s="1" t="n">
        <x:v>1</x:v>
      </x:c>
      <x:c r="K37" s="1" t="str"/>
      <x:c r="L37" s="1" t="str"/>
      <x:c r="M37" s="1" t="str"/>
      <x:c r="N37" s="1" t="str"/>
      <x:c r="O37" s="1" t="n">
        <x:v>0</x:v>
      </x:c>
      <x:c r="P37" s="1" t="n">
        <x:v>0</x:v>
      </x:c>
      <x:c r="Q37" s="4" t="n">
        <x:v>0</x:v>
      </x:c>
      <x:c r="R37" s="4" t="n">
        <x:v>0</x:v>
      </x:c>
    </x:row>
    <x:row r="38" ht="24" customHeight="1">
      <x:c r="A38" s="1" t="str">
        <x:v>C037</x:v>
      </x:c>
      <x:c r="B38" s="1" t="str">
        <x:v>Orthopedics</x:v>
      </x:c>
      <x:c r="C38" s="1" t="n">
        <x:v>2</x:v>
      </x:c>
      <x:c r="D38" s="1" t="n">
        <x:v>52</x:v>
      </x:c>
      <x:c r="E38" s="1" t="n">
        <x:v>260</x:v>
      </x:c>
      <x:c r="F38" s="1" t="n">
        <x:v>25</x:v>
      </x:c>
      <x:c r="G38" s="1" t="n">
        <x:v>285</x:v>
      </x:c>
      <x:c r="H38" s="1" t="n">
        <x:v>2</x:v>
      </x:c>
      <x:c r="I38" s="1" t="n">
        <x:v>5</x:v>
      </x:c>
      <x:c r="J38" s="1" t="n">
        <x:v>1</x:v>
      </x:c>
      <x:c r="K38" s="1" t="str"/>
      <x:c r="L38" s="1" t="str"/>
      <x:c r="M38" s="1" t="str"/>
      <x:c r="N38" s="1" t="str"/>
      <x:c r="O38" s="1" t="n">
        <x:v>0</x:v>
      </x:c>
      <x:c r="P38" s="1" t="n">
        <x:v>0</x:v>
      </x:c>
      <x:c r="Q38" s="4" t="n">
        <x:v>0</x:v>
      </x:c>
      <x:c r="R38" s="4" t="n">
        <x:v>0</x:v>
      </x:c>
    </x:row>
    <x:row r="39" ht="24" customHeight="1">
      <x:c r="A39" s="1" t="str">
        <x:v>C038</x:v>
      </x:c>
      <x:c r="B39" s="1" t="str">
        <x:v>Orthopedics</x:v>
      </x:c>
      <x:c r="C39" s="1" t="n">
        <x:v>3</x:v>
      </x:c>
      <x:c r="D39" s="1" t="n">
        <x:v>23</x:v>
      </x:c>
      <x:c r="E39" s="1" t="n">
        <x:v>125</x:v>
      </x:c>
      <x:c r="F39" s="1" t="n">
        <x:v>25</x:v>
      </x:c>
      <x:c r="G39" s="1" t="n">
        <x:v>150</x:v>
      </x:c>
      <x:c r="H39" s="1" t="n">
        <x:v>1</x:v>
      </x:c>
      <x:c r="I39" s="1" t="n">
        <x:v>4</x:v>
      </x:c>
      <x:c r="J39" s="1" t="n">
        <x:v>1</x:v>
      </x:c>
      <x:c r="K39" s="1" t="str"/>
      <x:c r="L39" s="1" t="str"/>
      <x:c r="M39" s="1" t="str"/>
      <x:c r="N39" s="1" t="str"/>
      <x:c r="O39" s="1" t="n">
        <x:v>0</x:v>
      </x:c>
      <x:c r="P39" s="1" t="n">
        <x:v>0</x:v>
      </x:c>
      <x:c r="Q39" s="4" t="n">
        <x:v>0</x:v>
      </x:c>
      <x:c r="R39" s="4" t="n">
        <x:v>0</x:v>
      </x:c>
    </x:row>
    <x:row r="40" ht="24" customHeight="1">
      <x:c r="A40" s="1" t="str">
        <x:v>C039</x:v>
      </x:c>
      <x:c r="B40" s="1" t="str">
        <x:v>Orthopedics</x:v>
      </x:c>
      <x:c r="C40" s="1" t="n">
        <x:v>2</x:v>
      </x:c>
      <x:c r="D40" s="1" t="n">
        <x:v>36</x:v>
      </x:c>
      <x:c r="E40" s="1" t="n">
        <x:v>160</x:v>
      </x:c>
      <x:c r="F40" s="1" t="n">
        <x:v>25</x:v>
      </x:c>
      <x:c r="G40" s="1" t="n">
        <x:v>185</x:v>
      </x:c>
      <x:c r="H40" s="1" t="n">
        <x:v>1</x:v>
      </x:c>
      <x:c r="I40" s="1" t="n">
        <x:v>4</x:v>
      </x:c>
      <x:c r="J40" s="1" t="n">
        <x:v>1</x:v>
      </x:c>
      <x:c r="K40" s="1" t="str">
        <x:v>R3</x:v>
      </x:c>
      <x:c r="L40" s="1" t="n">
        <x:v>1</x:v>
      </x:c>
      <x:c r="M40" s="1" t="str">
        <x:v>R3</x:v>
      </x:c>
      <x:c r="N40" s="1" t="n">
        <x:v>3</x:v>
      </x:c>
      <x:c r="O40" s="1" t="n">
        <x:v>1</x:v>
      </x:c>
      <x:c r="P40" s="1" t="n">
        <x:v>1</x:v>
      </x:c>
      <x:c r="Q40" s="4" t="n">
        <x:v>6.4399999999999995</x:v>
      </x:c>
      <x:c r="R40" s="4" t="n">
        <x:v>6.4399999999999995</x:v>
      </x:c>
    </x:row>
    <x:row r="41" ht="24" customHeight="1">
      <x:c r="A41" s="1" t="str">
        <x:v>C040</x:v>
      </x:c>
      <x:c r="B41" s="1" t="str">
        <x:v>Orthopedics</x:v>
      </x:c>
      <x:c r="C41" s="1" t="n">
        <x:v>2</x:v>
      </x:c>
      <x:c r="D41" s="1" t="n">
        <x:v>25</x:v>
      </x:c>
      <x:c r="E41" s="1" t="n">
        <x:v>140</x:v>
      </x:c>
      <x:c r="F41" s="1" t="n">
        <x:v>25</x:v>
      </x:c>
      <x:c r="G41" s="1" t="n">
        <x:v>165</x:v>
      </x:c>
      <x:c r="H41" s="1" t="n">
        <x:v>2</x:v>
      </x:c>
      <x:c r="I41" s="1" t="n">
        <x:v>5</x:v>
      </x:c>
      <x:c r="J41" s="1" t="n">
        <x:v>1</x:v>
      </x:c>
      <x:c r="K41" s="1" t="str">
        <x:v>R3</x:v>
      </x:c>
      <x:c r="L41" s="1" t="n">
        <x:v>4</x:v>
      </x:c>
      <x:c r="M41" s="1" t="str"/>
      <x:c r="N41" s="1" t="str"/>
      <x:c r="O41" s="1" t="n">
        <x:v>1</x:v>
      </x:c>
      <x:c r="P41" s="1" t="n">
        <x:v>0</x:v>
      </x:c>
      <x:c r="Q41" s="4" t="n">
        <x:v>6</x:v>
      </x:c>
      <x:c r="R41" s="4" t="n">
        <x:v>0</x:v>
      </x:c>
    </x:row>
    <x:row r="42" ht="24" customHeight="1">
      <x:c r="A42" s="1" t="str">
        <x:v>C041</x:v>
      </x:c>
      <x:c r="B42" s="1" t="str">
        <x:v>Orthopedics</x:v>
      </x:c>
      <x:c r="C42" s="1" t="n">
        <x:v>3</x:v>
      </x:c>
      <x:c r="D42" s="1" t="n">
        <x:v>12</x:v>
      </x:c>
      <x:c r="E42" s="1" t="n">
        <x:v>155</x:v>
      </x:c>
      <x:c r="F42" s="1" t="n">
        <x:v>25</x:v>
      </x:c>
      <x:c r="G42" s="1" t="n">
        <x:v>180</x:v>
      </x:c>
      <x:c r="H42" s="1" t="n">
        <x:v>1</x:v>
      </x:c>
      <x:c r="I42" s="1" t="n">
        <x:v>3</x:v>
      </x:c>
      <x:c r="J42" s="1" t="n">
        <x:v>1</x:v>
      </x:c>
      <x:c r="K42" s="1" t="str"/>
      <x:c r="L42" s="1" t="str"/>
      <x:c r="M42" s="1" t="str"/>
      <x:c r="N42" s="1" t="str"/>
      <x:c r="O42" s="1" t="n">
        <x:v>0</x:v>
      </x:c>
      <x:c r="P42" s="1" t="n">
        <x:v>0</x:v>
      </x:c>
      <x:c r="Q42" s="4" t="n">
        <x:v>0</x:v>
      </x:c>
      <x:c r="R42" s="4" t="n">
        <x:v>0</x:v>
      </x:c>
    </x:row>
    <x:row r="43" ht="24" customHeight="1">
      <x:c r="A43" s="1" t="str">
        <x:v>C042</x:v>
      </x:c>
      <x:c r="B43" s="1" t="str">
        <x:v>Ob/Gyn</x:v>
      </x:c>
      <x:c r="C43" s="1" t="n">
        <x:v>2</x:v>
      </x:c>
      <x:c r="D43" s="1" t="n">
        <x:v>19</x:v>
      </x:c>
      <x:c r="E43" s="1" t="n">
        <x:v>135</x:v>
      </x:c>
      <x:c r="F43" s="1" t="n">
        <x:v>25</x:v>
      </x:c>
      <x:c r="G43" s="1" t="n">
        <x:v>160</x:v>
      </x:c>
      <x:c r="H43" s="1" t="n">
        <x:v>1</x:v>
      </x:c>
      <x:c r="I43" s="1" t="n">
        <x:v>4</x:v>
      </x:c>
      <x:c r="J43" s="1" t="n">
        <x:v>1</x:v>
      </x:c>
      <x:c r="K43" s="1" t="str">
        <x:v>R4</x:v>
      </x:c>
      <x:c r="L43" s="1" t="n">
        <x:v>4</x:v>
      </x:c>
      <x:c r="M43" s="1" t="str">
        <x:v>R4</x:v>
      </x:c>
      <x:c r="N43" s="1" t="n">
        <x:v>1</x:v>
      </x:c>
      <x:c r="O43" s="1" t="n">
        <x:v>1</x:v>
      </x:c>
      <x:c r="P43" s="1" t="n">
        <x:v>1</x:v>
      </x:c>
      <x:c r="Q43" s="4" t="n">
        <x:v>5.76</x:v>
      </x:c>
      <x:c r="R43" s="4" t="n">
        <x:v>5.76</x:v>
      </x:c>
    </x:row>
    <x:row r="44" ht="24" customHeight="1">
      <x:c r="A44" s="1" t="str">
        <x:v>C043</x:v>
      </x:c>
      <x:c r="B44" s="1" t="str">
        <x:v>Ob/Gyn</x:v>
      </x:c>
      <x:c r="C44" s="1" t="n">
        <x:v>2</x:v>
      </x:c>
      <x:c r="D44" s="1" t="n">
        <x:v>85</x:v>
      </x:c>
      <x:c r="E44" s="1" t="n">
        <x:v>145</x:v>
      </x:c>
      <x:c r="F44" s="1" t="n">
        <x:v>25</x:v>
      </x:c>
      <x:c r="G44" s="1" t="n">
        <x:v>170</x:v>
      </x:c>
      <x:c r="H44" s="1" t="n">
        <x:v>1</x:v>
      </x:c>
      <x:c r="I44" s="1" t="n">
        <x:v>4</x:v>
      </x:c>
      <x:c r="J44" s="1" t="n">
        <x:v>0</x:v>
      </x:c>
      <x:c r="K44" s="1" t="str">
        <x:v>R4</x:v>
      </x:c>
      <x:c r="L44" s="1" t="n">
        <x:v>4</x:v>
      </x:c>
      <x:c r="M44" s="1" t="str">
        <x:v>R4</x:v>
      </x:c>
      <x:c r="N44" s="1" t="n">
        <x:v>4</x:v>
      </x:c>
      <x:c r="O44" s="1" t="n">
        <x:v>1</x:v>
      </x:c>
      <x:c r="P44" s="1" t="n">
        <x:v>1</x:v>
      </x:c>
      <x:c r="Q44" s="4" t="n">
        <x:v>8.4</x:v>
      </x:c>
      <x:c r="R44" s="4" t="n">
        <x:v>8.4</x:v>
      </x:c>
    </x:row>
    <x:row r="45" ht="24" customHeight="1">
      <x:c r="A45" s="1" t="str">
        <x:v>C044</x:v>
      </x:c>
      <x:c r="B45" s="1" t="str">
        <x:v>Ob/Gyn</x:v>
      </x:c>
      <x:c r="C45" s="1" t="n">
        <x:v>3</x:v>
      </x:c>
      <x:c r="D45" s="1" t="n">
        <x:v>78</x:v>
      </x:c>
      <x:c r="E45" s="1" t="n">
        <x:v>175</x:v>
      </x:c>
      <x:c r="F45" s="1" t="n">
        <x:v>25</x:v>
      </x:c>
      <x:c r="G45" s="1" t="n">
        <x:v>200</x:v>
      </x:c>
      <x:c r="H45" s="1" t="n">
        <x:v>1</x:v>
      </x:c>
      <x:c r="I45" s="1" t="n">
        <x:v>3</x:v>
      </x:c>
      <x:c r="J45" s="1" t="n">
        <x:v>1</x:v>
      </x:c>
      <x:c r="K45" s="1" t="str">
        <x:v>R4</x:v>
      </x:c>
      <x:c r="L45" s="1" t="n">
        <x:v>3</x:v>
      </x:c>
      <x:c r="M45" s="1" t="str"/>
      <x:c r="N45" s="1" t="str"/>
      <x:c r="O45" s="1" t="n">
        <x:v>1</x:v>
      </x:c>
      <x:c r="P45" s="1" t="n">
        <x:v>0</x:v>
      </x:c>
      <x:c r="Q45" s="4" t="n">
        <x:v>5.12</x:v>
      </x:c>
      <x:c r="R45" s="4" t="n">
        <x:v>0</x:v>
      </x:c>
    </x:row>
    <x:row r="46" ht="24" customHeight="1">
      <x:c r="A46" s="1" t="str">
        <x:v>C045</x:v>
      </x:c>
      <x:c r="B46" s="1" t="str">
        <x:v>Ob/Gyn</x:v>
      </x:c>
      <x:c r="C46" s="1" t="n">
        <x:v>2</x:v>
      </x:c>
      <x:c r="D46" s="1" t="n">
        <x:v>72</x:v>
      </x:c>
      <x:c r="E46" s="1" t="n">
        <x:v>75</x:v>
      </x:c>
      <x:c r="F46" s="1" t="n">
        <x:v>25</x:v>
      </x:c>
      <x:c r="G46" s="1" t="n">
        <x:v>100</x:v>
      </x:c>
      <x:c r="H46" s="1" t="n">
        <x:v>1</x:v>
      </x:c>
      <x:c r="I46" s="1" t="n">
        <x:v>4</x:v>
      </x:c>
      <x:c r="J46" s="1" t="n">
        <x:v>1</x:v>
      </x:c>
      <x:c r="K46" s="1" t="str">
        <x:v>R4</x:v>
      </x:c>
      <x:c r="L46" s="1" t="n">
        <x:v>2</x:v>
      </x:c>
      <x:c r="M46" s="1" t="str">
        <x:v>R4</x:v>
      </x:c>
      <x:c r="N46" s="1" t="n">
        <x:v>1</x:v>
      </x:c>
      <x:c r="O46" s="1" t="n">
        <x:v>1</x:v>
      </x:c>
      <x:c r="P46" s="1" t="n">
        <x:v>1</x:v>
      </x:c>
      <x:c r="Q46" s="4" t="n">
        <x:v>7.88</x:v>
      </x:c>
      <x:c r="R46" s="4" t="n">
        <x:v>7.88</x:v>
      </x:c>
    </x:row>
    <x:row r="47" ht="24" customHeight="1">
      <x:c r="A47" s="1" t="str">
        <x:v>C046</x:v>
      </x:c>
      <x:c r="B47" s="1" t="str">
        <x:v>Ob/Gyn</x:v>
      </x:c>
      <x:c r="C47" s="1" t="n">
        <x:v>2</x:v>
      </x:c>
      <x:c r="D47" s="1" t="n">
        <x:v>22</x:v>
      </x:c>
      <x:c r="E47" s="1" t="n">
        <x:v>90</x:v>
      </x:c>
      <x:c r="F47" s="1" t="n">
        <x:v>25</x:v>
      </x:c>
      <x:c r="G47" s="1" t="n">
        <x:v>115</x:v>
      </x:c>
      <x:c r="H47" s="1" t="n">
        <x:v>1</x:v>
      </x:c>
      <x:c r="I47" s="1" t="n">
        <x:v>5</x:v>
      </x:c>
      <x:c r="J47" s="1" t="n">
        <x:v>1</x:v>
      </x:c>
      <x:c r="K47" s="1" t="str">
        <x:v>R4</x:v>
      </x:c>
      <x:c r="L47" s="1" t="n">
        <x:v>5</x:v>
      </x:c>
      <x:c r="M47" s="1" t="str">
        <x:v>R4</x:v>
      </x:c>
      <x:c r="N47" s="1" t="n">
        <x:v>5</x:v>
      </x:c>
      <x:c r="O47" s="1" t="n">
        <x:v>1</x:v>
      </x:c>
      <x:c r="P47" s="1" t="n">
        <x:v>1</x:v>
      </x:c>
      <x:c r="Q47" s="4" t="n">
        <x:v>5.88</x:v>
      </x:c>
      <x:c r="R47" s="4" t="n">
        <x:v>5.88</x:v>
      </x:c>
    </x:row>
    <x:row r="48" ht="24" customHeight="1">
      <x:c r="A48" s="1" t="str">
        <x:v>C047</x:v>
      </x:c>
      <x:c r="B48" s="1" t="str">
        <x:v>Ob/Gyn</x:v>
      </x:c>
      <x:c r="C48" s="1" t="n">
        <x:v>2</x:v>
      </x:c>
      <x:c r="D48" s="1" t="n">
        <x:v>25</x:v>
      </x:c>
      <x:c r="E48" s="1" t="n">
        <x:v>85</x:v>
      </x:c>
      <x:c r="F48" s="1" t="n">
        <x:v>25</x:v>
      </x:c>
      <x:c r="G48" s="1" t="n">
        <x:v>110</x:v>
      </x:c>
      <x:c r="H48" s="1" t="n">
        <x:v>1</x:v>
      </x:c>
      <x:c r="I48" s="1" t="n">
        <x:v>4</x:v>
      </x:c>
      <x:c r="J48" s="1" t="n">
        <x:v>0</x:v>
      </x:c>
      <x:c r="K48" s="1" t="str">
        <x:v>R4</x:v>
      </x:c>
      <x:c r="L48" s="1" t="n">
        <x:v>1</x:v>
      </x:c>
      <x:c r="M48" s="1" t="str">
        <x:v>R4</x:v>
      </x:c>
      <x:c r="N48" s="1" t="n">
        <x:v>2</x:v>
      </x:c>
      <x:c r="O48" s="1" t="n">
        <x:v>1</x:v>
      </x:c>
      <x:c r="P48" s="1" t="n">
        <x:v>1</x:v>
      </x:c>
      <x:c r="Q48" s="4" t="n">
        <x:v>6</x:v>
      </x:c>
      <x:c r="R48" s="4" t="n">
        <x:v>6</x:v>
      </x:c>
    </x:row>
    <x:row r="49" ht="24" customHeight="1">
      <x:c r="A49" s="1" t="str">
        <x:v>C048</x:v>
      </x:c>
      <x:c r="B49" s="1" t="str">
        <x:v>Ob/Gyn</x:v>
      </x:c>
      <x:c r="C49" s="1" t="n">
        <x:v>1</x:v>
      </x:c>
      <x:c r="D49" s="1" t="n">
        <x:v>28</x:v>
      </x:c>
      <x:c r="E49" s="1" t="n">
        <x:v>135</x:v>
      </x:c>
      <x:c r="F49" s="1" t="n">
        <x:v>25</x:v>
      </x:c>
      <x:c r="G49" s="1" t="n">
        <x:v>160</x:v>
      </x:c>
      <x:c r="H49" s="1" t="n">
        <x:v>1</x:v>
      </x:c>
      <x:c r="I49" s="1" t="n">
        <x:v>3</x:v>
      </x:c>
      <x:c r="J49" s="1" t="n">
        <x:v>0</x:v>
      </x:c>
      <x:c r="K49" s="1" t="str">
        <x:v>R4</x:v>
      </x:c>
      <x:c r="L49" s="1" t="n">
        <x:v>1</x:v>
      </x:c>
      <x:c r="M49" s="1" t="str">
        <x:v>R4</x:v>
      </x:c>
      <x:c r="N49" s="1" t="n">
        <x:v>2</x:v>
      </x:c>
      <x:c r="O49" s="1" t="n">
        <x:v>1</x:v>
      </x:c>
      <x:c r="P49" s="1" t="n">
        <x:v>1</x:v>
      </x:c>
      <x:c r="Q49" s="4" t="n">
        <x:v>13.12</x:v>
      </x:c>
      <x:c r="R49" s="4" t="n">
        <x:v>13.12</x:v>
      </x:c>
    </x:row>
    <x:row r="50" ht="24" customHeight="1">
      <x:c r="A50" s="1" t="str">
        <x:v>C049</x:v>
      </x:c>
      <x:c r="B50" s="1" t="str">
        <x:v>Ob/Gyn</x:v>
      </x:c>
      <x:c r="C50" s="1" t="n">
        <x:v>2</x:v>
      </x:c>
      <x:c r="D50" s="1" t="n">
        <x:v>19</x:v>
      </x:c>
      <x:c r="E50" s="1" t="n">
        <x:v>115</x:v>
      </x:c>
      <x:c r="F50" s="1" t="n">
        <x:v>25</x:v>
      </x:c>
      <x:c r="G50" s="1" t="n">
        <x:v>140</x:v>
      </x:c>
      <x:c r="H50" s="1" t="n">
        <x:v>2</x:v>
      </x:c>
      <x:c r="I50" s="1" t="n">
        <x:v>5</x:v>
      </x:c>
      <x:c r="J50" s="1" t="n">
        <x:v>0</x:v>
      </x:c>
      <x:c r="K50" s="1" t="str">
        <x:v>R4</x:v>
      </x:c>
      <x:c r="L50" s="1" t="n">
        <x:v>5</x:v>
      </x:c>
      <x:c r="M50" s="1" t="str">
        <x:v>R4</x:v>
      </x:c>
      <x:c r="N50" s="1" t="n">
        <x:v>5</x:v>
      </x:c>
      <x:c r="O50" s="1" t="n">
        <x:v>1</x:v>
      </x:c>
      <x:c r="P50" s="1" t="n">
        <x:v>1</x:v>
      </x:c>
      <x:c r="Q50" s="4" t="n">
        <x:v>5.76</x:v>
      </x:c>
      <x:c r="R50" s="4" t="n">
        <x:v>5.76</x:v>
      </x:c>
    </x:row>
    <x:row r="51" ht="24" customHeight="1">
      <x:c r="A51" s="1" t="str">
        <x:v>C050</x:v>
      </x:c>
      <x:c r="B51" s="1" t="str">
        <x:v>Ob/Gyn</x:v>
      </x:c>
      <x:c r="C51" s="1" t="n">
        <x:v>2</x:v>
      </x:c>
      <x:c r="D51" s="1" t="n">
        <x:v>26</x:v>
      </x:c>
      <x:c r="E51" s="1" t="n">
        <x:v>135</x:v>
      </x:c>
      <x:c r="F51" s="1" t="n">
        <x:v>25</x:v>
      </x:c>
      <x:c r="G51" s="1" t="n">
        <x:v>160</x:v>
      </x:c>
      <x:c r="H51" s="1" t="n">
        <x:v>2</x:v>
      </x:c>
      <x:c r="I51" s="1" t="n">
        <x:v>5</x:v>
      </x:c>
      <x:c r="J51" s="1" t="n">
        <x:v>1</x:v>
      </x:c>
      <x:c r="K51" s="1" t="str">
        <x:v>R4</x:v>
      </x:c>
      <x:c r="L51" s="1" t="n">
        <x:v>5</x:v>
      </x:c>
      <x:c r="M51" s="1" t="str">
        <x:v>R4</x:v>
      </x:c>
      <x:c r="N51" s="1" t="n">
        <x:v>5</x:v>
      </x:c>
      <x:c r="O51" s="1" t="n">
        <x:v>1</x:v>
      </x:c>
      <x:c r="P51" s="1" t="n">
        <x:v>1</x:v>
      </x:c>
      <x:c r="Q51" s="4" t="n">
        <x:v>6.04</x:v>
      </x:c>
      <x:c r="R51" s="4" t="n">
        <x:v>6.04</x:v>
      </x:c>
    </x:row>
    <x:row r="52" ht="24" customHeight="1">
      <x:c r="A52" s="1" t="str">
        <x:v>C051</x:v>
      </x:c>
      <x:c r="B52" s="1" t="str">
        <x:v>Ob/Gyn</x:v>
      </x:c>
      <x:c r="C52" s="1" t="n">
        <x:v>3</x:v>
      </x:c>
      <x:c r="D52" s="1" t="n">
        <x:v>55</x:v>
      </x:c>
      <x:c r="E52" s="1" t="n">
        <x:v>125</x:v>
      </x:c>
      <x:c r="F52" s="1" t="n">
        <x:v>25</x:v>
      </x:c>
      <x:c r="G52" s="1" t="n">
        <x:v>150</x:v>
      </x:c>
      <x:c r="H52" s="1" t="n">
        <x:v>1</x:v>
      </x:c>
      <x:c r="I52" s="1" t="n">
        <x:v>3</x:v>
      </x:c>
      <x:c r="J52" s="1" t="n">
        <x:v>1</x:v>
      </x:c>
      <x:c r="K52" s="1" t="str"/>
      <x:c r="L52" s="1" t="str"/>
      <x:c r="M52" s="1" t="str">
        <x:v>R4</x:v>
      </x:c>
      <x:c r="N52" s="1" t="n">
        <x:v>2</x:v>
      </x:c>
      <x:c r="O52" s="1" t="n">
        <x:v>0</x:v>
      </x:c>
      <x:c r="P52" s="1" t="n">
        <x:v>1</x:v>
      </x:c>
      <x:c r="Q52" s="4" t="n">
        <x:v>0</x:v>
      </x:c>
      <x:c r="R52" s="4" t="n">
        <x:v>4.199999999999999</x:v>
      </x:c>
    </x:row>
    <x:row r="53" ht="24" customHeight="1">
      <x:c r="A53" s="1" t="str">
        <x:v>C052</x:v>
      </x:c>
      <x:c r="B53" s="1" t="str">
        <x:v>Ob/Gyn</x:v>
      </x:c>
      <x:c r="C53" s="1" t="n">
        <x:v>3</x:v>
      </x:c>
      <x:c r="D53" s="1" t="n">
        <x:v>61</x:v>
      </x:c>
      <x:c r="E53" s="1" t="n">
        <x:v>165</x:v>
      </x:c>
      <x:c r="F53" s="1" t="n">
        <x:v>25</x:v>
      </x:c>
      <x:c r="G53" s="1" t="n">
        <x:v>190</x:v>
      </x:c>
      <x:c r="H53" s="1" t="n">
        <x:v>1</x:v>
      </x:c>
      <x:c r="I53" s="1" t="n">
        <x:v>3</x:v>
      </x:c>
      <x:c r="J53" s="1" t="n">
        <x:v>0</x:v>
      </x:c>
      <x:c r="K53" s="1" t="str">
        <x:v>R4</x:v>
      </x:c>
      <x:c r="L53" s="1" t="n">
        <x:v>3</x:v>
      </x:c>
      <x:c r="M53" s="1" t="str"/>
      <x:c r="N53" s="1" t="str"/>
      <x:c r="O53" s="1" t="n">
        <x:v>1</x:v>
      </x:c>
      <x:c r="P53" s="1" t="n">
        <x:v>0</x:v>
      </x:c>
      <x:c r="Q53" s="4" t="n">
        <x:v>4.4399999999999995</x:v>
      </x:c>
      <x:c r="R53" s="4" t="n">
        <x:v>0</x:v>
      </x:c>
    </x:row>
    <x:row r="54" ht="24" customHeight="1">
      <x:c r="A54" s="1" t="str">
        <x:v>C053</x:v>
      </x:c>
      <x:c r="B54" s="1" t="str">
        <x:v>Ob/Gyn</x:v>
      </x:c>
      <x:c r="C54" s="1" t="n">
        <x:v>3</x:v>
      </x:c>
      <x:c r="D54" s="1" t="n">
        <x:v>56</x:v>
      </x:c>
      <x:c r="E54" s="1" t="n">
        <x:v>125</x:v>
      </x:c>
      <x:c r="F54" s="1" t="n">
        <x:v>25</x:v>
      </x:c>
      <x:c r="G54" s="1" t="n">
        <x:v>150</x:v>
      </x:c>
      <x:c r="H54" s="1" t="n">
        <x:v>1</x:v>
      </x:c>
      <x:c r="I54" s="1" t="n">
        <x:v>4</x:v>
      </x:c>
      <x:c r="J54" s="1" t="n">
        <x:v>0</x:v>
      </x:c>
      <x:c r="K54" s="1" t="str">
        <x:v>R4</x:v>
      </x:c>
      <x:c r="L54" s="1" t="n">
        <x:v>1</x:v>
      </x:c>
      <x:c r="M54" s="1" t="str">
        <x:v>R4</x:v>
      </x:c>
      <x:c r="N54" s="1" t="n">
        <x:v>4</x:v>
      </x:c>
      <x:c r="O54" s="1" t="n">
        <x:v>1</x:v>
      </x:c>
      <x:c r="P54" s="1" t="n">
        <x:v>1</x:v>
      </x:c>
      <x:c r="Q54" s="4" t="n">
        <x:v>4.24</x:v>
      </x:c>
      <x:c r="R54" s="4" t="n">
        <x:v>4.24</x:v>
      </x:c>
    </x:row>
    <x:row r="55" ht="24" customHeight="1">
      <x:c r="A55" s="1" t="str">
        <x:v>C054</x:v>
      </x:c>
      <x:c r="B55" s="1" t="str">
        <x:v>Ob/Gyn</x:v>
      </x:c>
      <x:c r="C55" s="1" t="n">
        <x:v>2</x:v>
      </x:c>
      <x:c r="D55" s="1" t="n">
        <x:v>76</x:v>
      </x:c>
      <x:c r="E55" s="1" t="n">
        <x:v>55</x:v>
      </x:c>
      <x:c r="F55" s="1" t="n">
        <x:v>25</x:v>
      </x:c>
      <x:c r="G55" s="1" t="n">
        <x:v>80</x:v>
      </x:c>
      <x:c r="H55" s="1" t="n">
        <x:v>1</x:v>
      </x:c>
      <x:c r="I55" s="1" t="n">
        <x:v>5</x:v>
      </x:c>
      <x:c r="J55" s="1" t="n">
        <x:v>0</x:v>
      </x:c>
      <x:c r="K55" s="1" t="str">
        <x:v>R4</x:v>
      </x:c>
      <x:c r="L55" s="1" t="n">
        <x:v>4</x:v>
      </x:c>
      <x:c r="M55" s="1" t="str">
        <x:v>R4</x:v>
      </x:c>
      <x:c r="N55" s="1" t="n">
        <x:v>4</x:v>
      </x:c>
      <x:c r="O55" s="1" t="n">
        <x:v>1</x:v>
      </x:c>
      <x:c r="P55" s="1" t="n">
        <x:v>1</x:v>
      </x:c>
      <x:c r="Q55" s="4" t="n">
        <x:v>8.04</x:v>
      </x:c>
      <x:c r="R55" s="4" t="n">
        <x:v>8.04</x:v>
      </x:c>
    </x:row>
    <x:row r="56" ht="24" customHeight="1">
      <x:c r="A56" s="1" t="str">
        <x:v>C055</x:v>
      </x:c>
      <x:c r="B56" s="1" t="str">
        <x:v>Ob/Gyn</x:v>
      </x:c>
      <x:c r="C56" s="1" t="n">
        <x:v>3</x:v>
      </x:c>
      <x:c r="D56" s="1" t="n">
        <x:v>57</x:v>
      </x:c>
      <x:c r="E56" s="1" t="n">
        <x:v>145</x:v>
      </x:c>
      <x:c r="F56" s="1" t="n">
        <x:v>25</x:v>
      </x:c>
      <x:c r="G56" s="1" t="n">
        <x:v>170</x:v>
      </x:c>
      <x:c r="H56" s="1" t="n">
        <x:v>1</x:v>
      </x:c>
      <x:c r="I56" s="1" t="n">
        <x:v>3</x:v>
      </x:c>
      <x:c r="J56" s="1" t="n">
        <x:v>0</x:v>
      </x:c>
      <x:c r="K56" s="1" t="str">
        <x:v>R4</x:v>
      </x:c>
      <x:c r="L56" s="1" t="n">
        <x:v>2</x:v>
      </x:c>
      <x:c r="M56" s="1" t="str"/>
      <x:c r="N56" s="1" t="str"/>
      <x:c r="O56" s="1" t="n">
        <x:v>1</x:v>
      </x:c>
      <x:c r="P56" s="1" t="n">
        <x:v>0</x:v>
      </x:c>
      <x:c r="Q56" s="4" t="n">
        <x:v>4.279999999999999</x:v>
      </x:c>
      <x:c r="R56" s="4" t="n">
        <x:v>0</x:v>
      </x:c>
    </x:row>
    <x:row r="57" ht="24" customHeight="1">
      <x:c r="A57" s="1" t="str">
        <x:v>C056</x:v>
      </x:c>
      <x:c r="B57" s="1" t="str">
        <x:v>Ob/Gyn</x:v>
      </x:c>
      <x:c r="C57" s="1" t="n">
        <x:v>2</x:v>
      </x:c>
      <x:c r="D57" s="1" t="n">
        <x:v>40</x:v>
      </x:c>
      <x:c r="E57" s="1" t="n">
        <x:v>120</x:v>
      </x:c>
      <x:c r="F57" s="1" t="n">
        <x:v>25</x:v>
      </x:c>
      <x:c r="G57" s="1" t="n">
        <x:v>145</x:v>
      </x:c>
      <x:c r="H57" s="1" t="n">
        <x:v>1</x:v>
      </x:c>
      <x:c r="I57" s="1" t="n">
        <x:v>3</x:v>
      </x:c>
      <x:c r="J57" s="1" t="n">
        <x:v>1</x:v>
      </x:c>
      <x:c r="K57" s="1" t="str">
        <x:v>R4</x:v>
      </x:c>
      <x:c r="L57" s="1" t="n">
        <x:v>2</x:v>
      </x:c>
      <x:c r="M57" s="1" t="str">
        <x:v>R4</x:v>
      </x:c>
      <x:c r="N57" s="1" t="n">
        <x:v>1</x:v>
      </x:c>
      <x:c r="O57" s="1" t="n">
        <x:v>1</x:v>
      </x:c>
      <x:c r="P57" s="1" t="n">
        <x:v>1</x:v>
      </x:c>
      <x:c r="Q57" s="4" t="n">
        <x:v>6.6</x:v>
      </x:c>
      <x:c r="R57" s="4" t="n">
        <x:v>6.6</x:v>
      </x:c>
    </x:row>
    <x:row r="58" ht="24" customHeight="1">
      <x:c r="A58" s="1" t="str">
        <x:v>C057</x:v>
      </x:c>
      <x:c r="B58" s="1" t="str">
        <x:v>Ob/Gyn</x:v>
      </x:c>
      <x:c r="C58" s="1" t="n">
        <x:v>3</x:v>
      </x:c>
      <x:c r="D58" s="1" t="n">
        <x:v>54</x:v>
      </x:c>
      <x:c r="E58" s="1" t="n">
        <x:v>180</x:v>
      </x:c>
      <x:c r="F58" s="1" t="n">
        <x:v>25</x:v>
      </x:c>
      <x:c r="G58" s="1" t="n">
        <x:v>205</x:v>
      </x:c>
      <x:c r="H58" s="1" t="n">
        <x:v>1</x:v>
      </x:c>
      <x:c r="I58" s="1" t="n">
        <x:v>5</x:v>
      </x:c>
      <x:c r="J58" s="1" t="n">
        <x:v>0</x:v>
      </x:c>
      <x:c r="K58" s="1" t="str"/>
      <x:c r="L58" s="1" t="str"/>
      <x:c r="M58" s="1" t="str"/>
      <x:c r="N58" s="1" t="str"/>
      <x:c r="O58" s="1" t="n">
        <x:v>0</x:v>
      </x:c>
      <x:c r="P58" s="1" t="n">
        <x:v>0</x:v>
      </x:c>
      <x:c r="Q58" s="4" t="n">
        <x:v>0</x:v>
      </x:c>
      <x:c r="R58" s="4" t="n">
        <x:v>0</x:v>
      </x:c>
    </x:row>
    <x:row r="59" ht="24" customHeight="1">
      <x:c r="A59" s="1" t="str">
        <x:v>C058</x:v>
      </x:c>
      <x:c r="B59" s="1" t="str">
        <x:v>Urology</x:v>
      </x:c>
      <x:c r="C59" s="1" t="n">
        <x:v>2</x:v>
      </x:c>
      <x:c r="D59" s="1" t="n">
        <x:v>60</x:v>
      </x:c>
      <x:c r="E59" s="1" t="n">
        <x:v>120</x:v>
      </x:c>
      <x:c r="F59" s="1" t="n">
        <x:v>25</x:v>
      </x:c>
      <x:c r="G59" s="1" t="n">
        <x:v>145</x:v>
      </x:c>
      <x:c r="H59" s="1" t="n">
        <x:v>2</x:v>
      </x:c>
      <x:c r="I59" s="1" t="n">
        <x:v>5</x:v>
      </x:c>
      <x:c r="J59" s="1" t="n">
        <x:v>1</x:v>
      </x:c>
      <x:c r="K59" s="1" t="str">
        <x:v>R2</x:v>
      </x:c>
      <x:c r="L59" s="1" t="n">
        <x:v>5</x:v>
      </x:c>
      <x:c r="M59" s="1" t="str">
        <x:v>R1</x:v>
      </x:c>
      <x:c r="N59" s="1" t="n">
        <x:v>5</x:v>
      </x:c>
      <x:c r="O59" s="1" t="n">
        <x:v>1</x:v>
      </x:c>
      <x:c r="P59" s="1" t="n">
        <x:v>1</x:v>
      </x:c>
      <x:c r="Q59" s="4" t="n">
        <x:v>7.4</x:v>
      </x:c>
      <x:c r="R59" s="4" t="n">
        <x:v>7.4</x:v>
      </x:c>
    </x:row>
    <x:row r="60" ht="24" customHeight="1">
      <x:c r="A60" s="1" t="str">
        <x:v>C059</x:v>
      </x:c>
      <x:c r="B60" s="1" t="str">
        <x:v>Urology</x:v>
      </x:c>
      <x:c r="C60" s="1" t="n">
        <x:v>1</x:v>
      </x:c>
      <x:c r="D60" s="1" t="n">
        <x:v>67</x:v>
      </x:c>
      <x:c r="E60" s="1" t="n">
        <x:v>55</x:v>
      </x:c>
      <x:c r="F60" s="1" t="n">
        <x:v>25</x:v>
      </x:c>
      <x:c r="G60" s="1" t="n">
        <x:v>80</x:v>
      </x:c>
      <x:c r="H60" s="1" t="n">
        <x:v>1</x:v>
      </x:c>
      <x:c r="I60" s="1" t="n">
        <x:v>2</x:v>
      </x:c>
      <x:c r="J60" s="1" t="n">
        <x:v>0</x:v>
      </x:c>
      <x:c r="K60" s="1" t="str">
        <x:v>R5</x:v>
      </x:c>
      <x:c r="L60" s="1" t="n">
        <x:v>2</x:v>
      </x:c>
      <x:c r="M60" s="1" t="str">
        <x:v>R2</x:v>
      </x:c>
      <x:c r="N60" s="1" t="n">
        <x:v>1</x:v>
      </x:c>
      <x:c r="O60" s="1" t="n">
        <x:v>1</x:v>
      </x:c>
      <x:c r="P60" s="1" t="n">
        <x:v>1</x:v>
      </x:c>
      <x:c r="Q60" s="4" t="n">
        <x:v>14.68</x:v>
      </x:c>
      <x:c r="R60" s="4" t="n">
        <x:v>14.68</x:v>
      </x:c>
    </x:row>
    <x:row r="61" ht="24" customHeight="1">
      <x:c r="A61" s="1" t="str">
        <x:v>C060</x:v>
      </x:c>
      <x:c r="B61" s="1" t="str">
        <x:v>Urology</x:v>
      </x:c>
      <x:c r="C61" s="1" t="n">
        <x:v>2</x:v>
      </x:c>
      <x:c r="D61" s="1" t="n">
        <x:v>29</x:v>
      </x:c>
      <x:c r="E61" s="1" t="n">
        <x:v>195</x:v>
      </x:c>
      <x:c r="F61" s="1" t="n">
        <x:v>25</x:v>
      </x:c>
      <x:c r="G61" s="1" t="n">
        <x:v>220</x:v>
      </x:c>
      <x:c r="H61" s="1" t="n">
        <x:v>1</x:v>
      </x:c>
      <x:c r="I61" s="1" t="n">
        <x:v>3</x:v>
      </x:c>
      <x:c r="J61" s="1" t="n">
        <x:v>0</x:v>
      </x:c>
      <x:c r="K61" s="1" t="str">
        <x:v>R2</x:v>
      </x:c>
      <x:c r="L61" s="1" t="n">
        <x:v>1</x:v>
      </x:c>
      <x:c r="M61" s="1" t="str">
        <x:v>R2</x:v>
      </x:c>
      <x:c r="N61" s="1" t="n">
        <x:v>3</x:v>
      </x:c>
      <x:c r="O61" s="1" t="n">
        <x:v>1</x:v>
      </x:c>
      <x:c r="P61" s="1" t="n">
        <x:v>1</x:v>
      </x:c>
      <x:c r="Q61" s="4" t="n">
        <x:v>6.16</x:v>
      </x:c>
      <x:c r="R61" s="4" t="n">
        <x:v>6.16</x:v>
      </x:c>
    </x:row>
    <x:row r="62" ht="24" customHeight="1">
      <x:c r="A62" s="1" t="str">
        <x:v>C061</x:v>
      </x:c>
      <x:c r="B62" s="1" t="str">
        <x:v>Urology</x:v>
      </x:c>
      <x:c r="C62" s="1" t="n">
        <x:v>1</x:v>
      </x:c>
      <x:c r="D62" s="1" t="n">
        <x:v>68</x:v>
      </x:c>
      <x:c r="E62" s="1" t="n">
        <x:v>165</x:v>
      </x:c>
      <x:c r="F62" s="1" t="n">
        <x:v>25</x:v>
      </x:c>
      <x:c r="G62" s="1" t="n">
        <x:v>190</x:v>
      </x:c>
      <x:c r="H62" s="1" t="n">
        <x:v>1</x:v>
      </x:c>
      <x:c r="I62" s="1" t="n">
        <x:v>2</x:v>
      </x:c>
      <x:c r="J62" s="1" t="n">
        <x:v>1</x:v>
      </x:c>
      <x:c r="K62" s="1" t="str">
        <x:v>R2</x:v>
      </x:c>
      <x:c r="L62" s="1" t="n">
        <x:v>1</x:v>
      </x:c>
      <x:c r="M62" s="1" t="str">
        <x:v>R2</x:v>
      </x:c>
      <x:c r="N62" s="1" t="n">
        <x:v>2</x:v>
      </x:c>
      <x:c r="O62" s="1" t="n">
        <x:v>1</x:v>
      </x:c>
      <x:c r="P62" s="1" t="n">
        <x:v>1</x:v>
      </x:c>
      <x:c r="Q62" s="4" t="n">
        <x:v>14.719999999999999</x:v>
      </x:c>
      <x:c r="R62" s="4" t="n">
        <x:v>14.719999999999999</x:v>
      </x:c>
    </x:row>
    <x:row r="63" ht="24" customHeight="1">
      <x:c r="A63" s="1" t="str">
        <x:v>C062</x:v>
      </x:c>
      <x:c r="B63" s="1" t="str">
        <x:v>Urology</x:v>
      </x:c>
      <x:c r="C63" s="1" t="n">
        <x:v>3</x:v>
      </x:c>
      <x:c r="D63" s="1" t="n">
        <x:v>52</x:v>
      </x:c>
      <x:c r="E63" s="1" t="n">
        <x:v>85</x:v>
      </x:c>
      <x:c r="F63" s="1" t="n">
        <x:v>25</x:v>
      </x:c>
      <x:c r="G63" s="1" t="n">
        <x:v>110</x:v>
      </x:c>
      <x:c r="H63" s="1" t="n">
        <x:v>1</x:v>
      </x:c>
      <x:c r="I63" s="1" t="n">
        <x:v>4</x:v>
      </x:c>
      <x:c r="J63" s="1" t="n">
        <x:v>0</x:v>
      </x:c>
      <x:c r="K63" s="1" t="str">
        <x:v>R2</x:v>
      </x:c>
      <x:c r="L63" s="1" t="n">
        <x:v>3</x:v>
      </x:c>
      <x:c r="M63" s="1" t="str">
        <x:v>R2</x:v>
      </x:c>
      <x:c r="N63" s="1" t="n">
        <x:v>1</x:v>
      </x:c>
      <x:c r="O63" s="1" t="n">
        <x:v>1</x:v>
      </x:c>
      <x:c r="P63" s="1" t="n">
        <x:v>1</x:v>
      </x:c>
      <x:c r="Q63" s="4" t="n">
        <x:v>4.08</x:v>
      </x:c>
      <x:c r="R63" s="4" t="n">
        <x:v>4.08</x:v>
      </x:c>
    </x:row>
    <x:row r="64" ht="24" customHeight="1">
      <x:c r="A64" s="1" t="str">
        <x:v>C063</x:v>
      </x:c>
      <x:c r="B64" s="1" t="str">
        <x:v>Urology</x:v>
      </x:c>
      <x:c r="C64" s="1" t="n">
        <x:v>3</x:v>
      </x:c>
      <x:c r="D64" s="1" t="n">
        <x:v>16</x:v>
      </x:c>
      <x:c r="E64" s="1" t="n">
        <x:v>140</x:v>
      </x:c>
      <x:c r="F64" s="1" t="n">
        <x:v>25</x:v>
      </x:c>
      <x:c r="G64" s="1" t="n">
        <x:v>165</x:v>
      </x:c>
      <x:c r="H64" s="1" t="n">
        <x:v>1</x:v>
      </x:c>
      <x:c r="I64" s="1" t="n">
        <x:v>5</x:v>
      </x:c>
      <x:c r="J64" s="1" t="n">
        <x:v>0</x:v>
      </x:c>
      <x:c r="K64" s="1" t="str"/>
      <x:c r="L64" s="1" t="str"/>
      <x:c r="M64" s="1" t="str"/>
      <x:c r="N64" s="1" t="str"/>
      <x:c r="O64" s="1" t="n">
        <x:v>0</x:v>
      </x:c>
      <x:c r="P64" s="1" t="n">
        <x:v>0</x:v>
      </x:c>
      <x:c r="Q64" s="4" t="n">
        <x:v>0</x:v>
      </x:c>
      <x:c r="R64" s="4" t="n">
        <x:v>0</x:v>
      </x:c>
    </x:row>
    <x:row r="65" ht="24" customHeight="1">
      <x:c r="A65" s="1" t="str">
        <x:v>C064</x:v>
      </x:c>
      <x:c r="B65" s="1" t="str">
        <x:v>Urology</x:v>
      </x:c>
      <x:c r="C65" s="1" t="n">
        <x:v>1</x:v>
      </x:c>
      <x:c r="D65" s="1" t="n">
        <x:v>28</x:v>
      </x:c>
      <x:c r="E65" s="1" t="n">
        <x:v>175</x:v>
      </x:c>
      <x:c r="F65" s="1" t="n">
        <x:v>25</x:v>
      </x:c>
      <x:c r="G65" s="1" t="n">
        <x:v>200</x:v>
      </x:c>
      <x:c r="H65" s="1" t="n">
        <x:v>2</x:v>
      </x:c>
      <x:c r="I65" s="1" t="n">
        <x:v>4</x:v>
      </x:c>
      <x:c r="J65" s="1" t="n">
        <x:v>1</x:v>
      </x:c>
      <x:c r="K65" s="1" t="str">
        <x:v>R5</x:v>
      </x:c>
      <x:c r="L65" s="1" t="n">
        <x:v>4</x:v>
      </x:c>
      <x:c r="M65" s="1" t="str">
        <x:v>R2</x:v>
      </x:c>
      <x:c r="N65" s="1" t="n">
        <x:v>4</x:v>
      </x:c>
      <x:c r="O65" s="1" t="n">
        <x:v>1</x:v>
      </x:c>
      <x:c r="P65" s="1" t="n">
        <x:v>1</x:v>
      </x:c>
      <x:c r="Q65" s="4" t="n">
        <x:v>13.12</x:v>
      </x:c>
      <x:c r="R65" s="4" t="n">
        <x:v>13.12</x:v>
      </x:c>
    </x:row>
    <x:row r="66" ht="24" customHeight="1">
      <x:c r="A66" s="1" t="str">
        <x:v>C065</x:v>
      </x:c>
      <x:c r="B66" s="1" t="str">
        <x:v>Urology</x:v>
      </x:c>
      <x:c r="C66" s="1" t="n">
        <x:v>1</x:v>
      </x:c>
      <x:c r="D66" s="1" t="n">
        <x:v>63</x:v>
      </x:c>
      <x:c r="E66" s="1" t="n">
        <x:v>165</x:v>
      </x:c>
      <x:c r="F66" s="1" t="n">
        <x:v>25</x:v>
      </x:c>
      <x:c r="G66" s="1" t="n">
        <x:v>190</x:v>
      </x:c>
      <x:c r="H66" s="1" t="n">
        <x:v>1</x:v>
      </x:c>
      <x:c r="I66" s="1" t="n">
        <x:v>3</x:v>
      </x:c>
      <x:c r="J66" s="1" t="n">
        <x:v>1</x:v>
      </x:c>
      <x:c r="K66" s="1" t="str">
        <x:v>R5</x:v>
      </x:c>
      <x:c r="L66" s="1" t="n">
        <x:v>2</x:v>
      </x:c>
      <x:c r="M66" s="1" t="str">
        <x:v>R2</x:v>
      </x:c>
      <x:c r="N66" s="1" t="n">
        <x:v>3</x:v>
      </x:c>
      <x:c r="O66" s="1" t="n">
        <x:v>1</x:v>
      </x:c>
      <x:c r="P66" s="1" t="n">
        <x:v>1</x:v>
      </x:c>
      <x:c r="Q66" s="4" t="n">
        <x:v>14.52</x:v>
      </x:c>
      <x:c r="R66" s="4" t="n">
        <x:v>14.52</x:v>
      </x:c>
    </x:row>
    <x:row r="67" ht="24" customHeight="1">
      <x:c r="A67" s="1" t="str">
        <x:v>C066</x:v>
      </x:c>
      <x:c r="B67" s="1" t="str">
        <x:v>Urology</x:v>
      </x:c>
      <x:c r="C67" s="1" t="n">
        <x:v>1</x:v>
      </x:c>
      <x:c r="D67" s="1" t="n">
        <x:v>24</x:v>
      </x:c>
      <x:c r="E67" s="1" t="n">
        <x:v>125</x:v>
      </x:c>
      <x:c r="F67" s="1" t="n">
        <x:v>25</x:v>
      </x:c>
      <x:c r="G67" s="1" t="n">
        <x:v>150</x:v>
      </x:c>
      <x:c r="H67" s="1" t="n">
        <x:v>2</x:v>
      </x:c>
      <x:c r="I67" s="1" t="n">
        <x:v>4</x:v>
      </x:c>
      <x:c r="J67" s="1" t="n">
        <x:v>1</x:v>
      </x:c>
      <x:c r="K67" s="1" t="str">
        <x:v>R5</x:v>
      </x:c>
      <x:c r="L67" s="1" t="n">
        <x:v>2</x:v>
      </x:c>
      <x:c r="M67" s="1" t="str">
        <x:v>R2</x:v>
      </x:c>
      <x:c r="N67" s="1" t="n">
        <x:v>4</x:v>
      </x:c>
      <x:c r="O67" s="1" t="n">
        <x:v>1</x:v>
      </x:c>
      <x:c r="P67" s="1" t="n">
        <x:v>1</x:v>
      </x:c>
      <x:c r="Q67" s="4" t="n">
        <x:v>12.96</x:v>
      </x:c>
      <x:c r="R67" s="4" t="n">
        <x:v>12.96</x:v>
      </x:c>
    </x:row>
    <x:row r="68" ht="24" customHeight="1">
      <x:c r="A68" s="1" t="str">
        <x:v>C067</x:v>
      </x:c>
      <x:c r="B68" s="1" t="str">
        <x:v>Urology</x:v>
      </x:c>
      <x:c r="C68" s="1" t="n">
        <x:v>3</x:v>
      </x:c>
      <x:c r="D68" s="1" t="n">
        <x:v>80</x:v>
      </x:c>
      <x:c r="E68" s="1" t="n">
        <x:v>145</x:v>
      </x:c>
      <x:c r="F68" s="1" t="n">
        <x:v>25</x:v>
      </x:c>
      <x:c r="G68" s="1" t="n">
        <x:v>170</x:v>
      </x:c>
      <x:c r="H68" s="1" t="n">
        <x:v>2</x:v>
      </x:c>
      <x:c r="I68" s="1" t="n">
        <x:v>5</x:v>
      </x:c>
      <x:c r="J68" s="1" t="n">
        <x:v>0</x:v>
      </x:c>
      <x:c r="K68" s="1" t="str">
        <x:v>R2</x:v>
      </x:c>
      <x:c r="L68" s="1" t="n">
        <x:v>5</x:v>
      </x:c>
      <x:c r="M68" s="1" t="str"/>
      <x:c r="N68" s="1" t="str"/>
      <x:c r="O68" s="1" t="n">
        <x:v>1</x:v>
      </x:c>
      <x:c r="P68" s="1" t="n">
        <x:v>0</x:v>
      </x:c>
      <x:c r="Q68" s="4" t="n">
        <x:v>5.199999999999999</x:v>
      </x:c>
      <x:c r="R68" s="4" t="n">
        <x:v>0</x:v>
      </x:c>
    </x:row>
    <x:row r="69" ht="24" customHeight="1">
      <x:c r="A69" s="1" t="str">
        <x:v>C068</x:v>
      </x:c>
      <x:c r="B69" s="1" t="str">
        <x:v>Urology</x:v>
      </x:c>
      <x:c r="C69" s="1" t="n">
        <x:v>1</x:v>
      </x:c>
      <x:c r="D69" s="1" t="n">
        <x:v>70</x:v>
      </x:c>
      <x:c r="E69" s="1" t="n">
        <x:v>145</x:v>
      </x:c>
      <x:c r="F69" s="1" t="n">
        <x:v>25</x:v>
      </x:c>
      <x:c r="G69" s="1" t="n">
        <x:v>170</x:v>
      </x:c>
      <x:c r="H69" s="1" t="n">
        <x:v>2</x:v>
      </x:c>
      <x:c r="I69" s="1" t="n">
        <x:v>3</x:v>
      </x:c>
      <x:c r="J69" s="1" t="n">
        <x:v>0</x:v>
      </x:c>
      <x:c r="K69" s="1" t="str">
        <x:v>R2</x:v>
      </x:c>
      <x:c r="L69" s="1" t="n">
        <x:v>3</x:v>
      </x:c>
      <x:c r="M69" s="1" t="str">
        <x:v>R2</x:v>
      </x:c>
      <x:c r="N69" s="1" t="n">
        <x:v>2</x:v>
      </x:c>
      <x:c r="O69" s="1" t="n">
        <x:v>1</x:v>
      </x:c>
      <x:c r="P69" s="1" t="n">
        <x:v>1</x:v>
      </x:c>
      <x:c r="Q69" s="4" t="n">
        <x:v>14.8</x:v>
      </x:c>
      <x:c r="R69" s="4" t="n">
        <x:v>14.8</x:v>
      </x:c>
    </x:row>
    <x:row r="70" ht="24" customHeight="1">
      <x:c r="A70" s="1" t="str">
        <x:v>C069</x:v>
      </x:c>
      <x:c r="B70" s="1" t="str">
        <x:v>Urology</x:v>
      </x:c>
      <x:c r="C70" s="1" t="n">
        <x:v>2</x:v>
      </x:c>
      <x:c r="D70" s="1" t="n">
        <x:v>21</x:v>
      </x:c>
      <x:c r="E70" s="1" t="n">
        <x:v>100</x:v>
      </x:c>
      <x:c r="F70" s="1" t="n">
        <x:v>25</x:v>
      </x:c>
      <x:c r="G70" s="1" t="n">
        <x:v>125</x:v>
      </x:c>
      <x:c r="H70" s="1" t="n">
        <x:v>1</x:v>
      </x:c>
      <x:c r="I70" s="1" t="n">
        <x:v>3</x:v>
      </x:c>
      <x:c r="J70" s="1" t="n">
        <x:v>1</x:v>
      </x:c>
      <x:c r="K70" s="1" t="str">
        <x:v>R2</x:v>
      </x:c>
      <x:c r="L70" s="1" t="n">
        <x:v>3</x:v>
      </x:c>
      <x:c r="M70" s="1" t="str">
        <x:v>R2</x:v>
      </x:c>
      <x:c r="N70" s="1" t="n">
        <x:v>1</x:v>
      </x:c>
      <x:c r="O70" s="1" t="n">
        <x:v>1</x:v>
      </x:c>
      <x:c r="P70" s="1" t="n">
        <x:v>1</x:v>
      </x:c>
      <x:c r="Q70" s="4" t="n">
        <x:v>5.84</x:v>
      </x:c>
      <x:c r="R70" s="4" t="n">
        <x:v>5.84</x:v>
      </x:c>
    </x:row>
    <x:row r="71" ht="24" customHeight="1">
      <x:c r="A71" s="1" t="str">
        <x:v>C070</x:v>
      </x:c>
      <x:c r="B71" s="1" t="str">
        <x:v>Urology</x:v>
      </x:c>
      <x:c r="C71" s="1" t="n">
        <x:v>2</x:v>
      </x:c>
      <x:c r="D71" s="1" t="n">
        <x:v>62</x:v>
      </x:c>
      <x:c r="E71" s="1" t="n">
        <x:v>180</x:v>
      </x:c>
      <x:c r="F71" s="1" t="n">
        <x:v>25</x:v>
      </x:c>
      <x:c r="G71" s="1" t="n">
        <x:v>205</x:v>
      </x:c>
      <x:c r="H71" s="1" t="n">
        <x:v>1</x:v>
      </x:c>
      <x:c r="I71" s="1" t="n">
        <x:v>5</x:v>
      </x:c>
      <x:c r="J71" s="1" t="n">
        <x:v>0</x:v>
      </x:c>
      <x:c r="K71" s="1" t="str">
        <x:v>R5</x:v>
      </x:c>
      <x:c r="L71" s="1" t="n">
        <x:v>4</x:v>
      </x:c>
      <x:c r="M71" s="1" t="str">
        <x:v>R1</x:v>
      </x:c>
      <x:c r="N71" s="1" t="n">
        <x:v>5</x:v>
      </x:c>
      <x:c r="O71" s="1" t="n">
        <x:v>1</x:v>
      </x:c>
      <x:c r="P71" s="1" t="n">
        <x:v>1</x:v>
      </x:c>
      <x:c r="Q71" s="4" t="n">
        <x:v>7.48</x:v>
      </x:c>
      <x:c r="R71" s="4" t="n">
        <x:v>7.48</x:v>
      </x:c>
    </x:row>
    <x:row r="72" ht="24" customHeight="1">
      <x:c r="A72" s="1" t="str">
        <x:v>C071</x:v>
      </x:c>
      <x:c r="B72" s="1" t="str">
        <x:v>ENT</x:v>
      </x:c>
      <x:c r="C72" s="1" t="n">
        <x:v>3</x:v>
      </x:c>
      <x:c r="D72" s="1" t="n">
        <x:v>67</x:v>
      </x:c>
      <x:c r="E72" s="1" t="n">
        <x:v>105</x:v>
      </x:c>
      <x:c r="F72" s="1" t="n">
        <x:v>25</x:v>
      </x:c>
      <x:c r="G72" s="1" t="n">
        <x:v>130</x:v>
      </x:c>
      <x:c r="H72" s="1" t="n">
        <x:v>1</x:v>
      </x:c>
      <x:c r="I72" s="1" t="n">
        <x:v>5</x:v>
      </x:c>
      <x:c r="J72" s="1" t="n">
        <x:v>0</x:v>
      </x:c>
      <x:c r="K72" s="1" t="str"/>
      <x:c r="L72" s="1" t="str"/>
      <x:c r="M72" s="1" t="str">
        <x:v>R5</x:v>
      </x:c>
      <x:c r="N72" s="1" t="n">
        <x:v>5</x:v>
      </x:c>
      <x:c r="O72" s="1" t="n">
        <x:v>0</x:v>
      </x:c>
      <x:c r="P72" s="1" t="n">
        <x:v>1</x:v>
      </x:c>
      <x:c r="Q72" s="4" t="n">
        <x:v>0</x:v>
      </x:c>
      <x:c r="R72" s="4" t="n">
        <x:v>4.68</x:v>
      </x:c>
    </x:row>
    <x:row r="73" ht="24" customHeight="1">
      <x:c r="A73" s="1" t="str">
        <x:v>C072</x:v>
      </x:c>
      <x:c r="B73" s="1" t="str">
        <x:v>ENT</x:v>
      </x:c>
      <x:c r="C73" s="1" t="n">
        <x:v>2</x:v>
      </x:c>
      <x:c r="D73" s="1" t="n">
        <x:v>73</x:v>
      </x:c>
      <x:c r="E73" s="1" t="n">
        <x:v>135</x:v>
      </x:c>
      <x:c r="F73" s="1" t="n">
        <x:v>25</x:v>
      </x:c>
      <x:c r="G73" s="1" t="n">
        <x:v>160</x:v>
      </x:c>
      <x:c r="H73" s="1" t="n">
        <x:v>1</x:v>
      </x:c>
      <x:c r="I73" s="1" t="n">
        <x:v>3</x:v>
      </x:c>
      <x:c r="J73" s="1" t="n">
        <x:v>1</x:v>
      </x:c>
      <x:c r="K73" s="1" t="str"/>
      <x:c r="L73" s="1" t="str"/>
      <x:c r="M73" s="1" t="str">
        <x:v>R1</x:v>
      </x:c>
      <x:c r="N73" s="1" t="n">
        <x:v>2</x:v>
      </x:c>
      <x:c r="O73" s="1" t="n">
        <x:v>0</x:v>
      </x:c>
      <x:c r="P73" s="1" t="n">
        <x:v>1</x:v>
      </x:c>
      <x:c r="Q73" s="4" t="n">
        <x:v>0</x:v>
      </x:c>
      <x:c r="R73" s="4" t="n">
        <x:v>7.92</x:v>
      </x:c>
    </x:row>
    <x:row r="74" ht="24" customHeight="1">
      <x:c r="A74" s="1" t="str">
        <x:v>C073</x:v>
      </x:c>
      <x:c r="B74" s="1" t="str">
        <x:v>ENT</x:v>
      </x:c>
      <x:c r="C74" s="1" t="n">
        <x:v>2</x:v>
      </x:c>
      <x:c r="D74" s="1" t="n">
        <x:v>81</x:v>
      </x:c>
      <x:c r="E74" s="1" t="n">
        <x:v>95</x:v>
      </x:c>
      <x:c r="F74" s="1" t="n">
        <x:v>25</x:v>
      </x:c>
      <x:c r="G74" s="1" t="n">
        <x:v>120</x:v>
      </x:c>
      <x:c r="H74" s="1" t="n">
        <x:v>1</x:v>
      </x:c>
      <x:c r="I74" s="1" t="n">
        <x:v>3</x:v>
      </x:c>
      <x:c r="J74" s="1" t="n">
        <x:v>1</x:v>
      </x:c>
      <x:c r="K74" s="1" t="str">
        <x:v>R2</x:v>
      </x:c>
      <x:c r="L74" s="1" t="n">
        <x:v>2</x:v>
      </x:c>
      <x:c r="M74" s="1" t="str">
        <x:v>R5</x:v>
      </x:c>
      <x:c r="N74" s="1" t="n">
        <x:v>3</x:v>
      </x:c>
      <x:c r="O74" s="1" t="n">
        <x:v>1</x:v>
      </x:c>
      <x:c r="P74" s="1" t="n">
        <x:v>1</x:v>
      </x:c>
      <x:c r="Q74" s="4" t="n">
        <x:v>8.24</x:v>
      </x:c>
      <x:c r="R74" s="4" t="n">
        <x:v>8.24</x:v>
      </x:c>
    </x:row>
    <x:row r="75" ht="24" customHeight="1">
      <x:c r="A75" s="1" t="str">
        <x:v>C074</x:v>
      </x:c>
      <x:c r="B75" s="1" t="str">
        <x:v>ENT</x:v>
      </x:c>
      <x:c r="C75" s="1" t="n">
        <x:v>2</x:v>
      </x:c>
      <x:c r="D75" s="1" t="n">
        <x:v>86</x:v>
      </x:c>
      <x:c r="E75" s="1" t="n">
        <x:v>85</x:v>
      </x:c>
      <x:c r="F75" s="1" t="n">
        <x:v>25</x:v>
      </x:c>
      <x:c r="G75" s="1" t="n">
        <x:v>110</x:v>
      </x:c>
      <x:c r="H75" s="1" t="n">
        <x:v>2</x:v>
      </x:c>
      <x:c r="I75" s="1" t="n">
        <x:v>5</x:v>
      </x:c>
      <x:c r="J75" s="1" t="n">
        <x:v>0</x:v>
      </x:c>
      <x:c r="K75" s="1" t="str">
        <x:v>R2</x:v>
      </x:c>
      <x:c r="L75" s="1" t="n">
        <x:v>4</x:v>
      </x:c>
      <x:c r="M75" s="1" t="str">
        <x:v>R1</x:v>
      </x:c>
      <x:c r="N75" s="1" t="n">
        <x:v>4</x:v>
      </x:c>
      <x:c r="O75" s="1" t="n">
        <x:v>1</x:v>
      </x:c>
      <x:c r="P75" s="1" t="n">
        <x:v>1</x:v>
      </x:c>
      <x:c r="Q75" s="4" t="n">
        <x:v>8.44</x:v>
      </x:c>
      <x:c r="R75" s="4" t="n">
        <x:v>8.44</x:v>
      </x:c>
    </x:row>
    <x:row r="76" ht="24" customHeight="1">
      <x:c r="A76" s="1" t="str">
        <x:v>C075</x:v>
      </x:c>
      <x:c r="B76" s="1" t="str">
        <x:v>ENT</x:v>
      </x:c>
      <x:c r="C76" s="1" t="n">
        <x:v>3</x:v>
      </x:c>
      <x:c r="D76" s="1" t="n">
        <x:v>58</x:v>
      </x:c>
      <x:c r="E76" s="1" t="n">
        <x:v>95</x:v>
      </x:c>
      <x:c r="F76" s="1" t="n">
        <x:v>25</x:v>
      </x:c>
      <x:c r="G76" s="1" t="n">
        <x:v>120</x:v>
      </x:c>
      <x:c r="H76" s="1" t="n">
        <x:v>1</x:v>
      </x:c>
      <x:c r="I76" s="1" t="n">
        <x:v>5</x:v>
      </x:c>
      <x:c r="J76" s="1" t="n">
        <x:v>0</x:v>
      </x:c>
      <x:c r="K76" s="1" t="str"/>
      <x:c r="L76" s="1" t="str"/>
      <x:c r="M76" s="1" t="str">
        <x:v>R1</x:v>
      </x:c>
      <x:c r="N76" s="1" t="n">
        <x:v>4</x:v>
      </x:c>
      <x:c r="O76" s="1" t="n">
        <x:v>0</x:v>
      </x:c>
      <x:c r="P76" s="1" t="n">
        <x:v>1</x:v>
      </x:c>
      <x:c r="Q76" s="4" t="n">
        <x:v>0</x:v>
      </x:c>
      <x:c r="R76" s="4" t="n">
        <x:v>4.32</x:v>
      </x:c>
    </x:row>
    <x:row r="77" ht="24" customHeight="1">
      <x:c r="A77" s="1" t="str">
        <x:v>C076</x:v>
      </x:c>
      <x:c r="B77" s="1" t="str">
        <x:v>ENT</x:v>
      </x:c>
      <x:c r="C77" s="1" t="n">
        <x:v>2</x:v>
      </x:c>
      <x:c r="D77" s="1" t="n">
        <x:v>17</x:v>
      </x:c>
      <x:c r="E77" s="1" t="n">
        <x:v>140</x:v>
      </x:c>
      <x:c r="F77" s="1" t="n">
        <x:v>25</x:v>
      </x:c>
      <x:c r="G77" s="1" t="n">
        <x:v>165</x:v>
      </x:c>
      <x:c r="H77" s="1" t="n">
        <x:v>1</x:v>
      </x:c>
      <x:c r="I77" s="1" t="n">
        <x:v>5</x:v>
      </x:c>
      <x:c r="J77" s="1" t="n">
        <x:v>1</x:v>
      </x:c>
      <x:c r="K77" s="1" t="str"/>
      <x:c r="L77" s="1" t="str"/>
      <x:c r="M77" s="1" t="str">
        <x:v>R1</x:v>
      </x:c>
      <x:c r="N77" s="1" t="n">
        <x:v>4</x:v>
      </x:c>
      <x:c r="O77" s="1" t="n">
        <x:v>0</x:v>
      </x:c>
      <x:c r="P77" s="1" t="n">
        <x:v>1</x:v>
      </x:c>
      <x:c r="Q77" s="4" t="n">
        <x:v>0</x:v>
      </x:c>
      <x:c r="R77" s="4" t="n">
        <x:v>5.68</x:v>
      </x:c>
    </x:row>
    <x:row r="78" ht="24" customHeight="1">
      <x:c r="A78" s="1" t="str">
        <x:v>C077</x:v>
      </x:c>
      <x:c r="B78" s="1" t="str">
        <x:v>ENT</x:v>
      </x:c>
      <x:c r="C78" s="1" t="n">
        <x:v>2</x:v>
      </x:c>
      <x:c r="D78" s="1" t="n">
        <x:v>77</x:v>
      </x:c>
      <x:c r="E78" s="1" t="n">
        <x:v>115</x:v>
      </x:c>
      <x:c r="F78" s="1" t="n">
        <x:v>25</x:v>
      </x:c>
      <x:c r="G78" s="1" t="n">
        <x:v>140</x:v>
      </x:c>
      <x:c r="H78" s="1" t="n">
        <x:v>1</x:v>
      </x:c>
      <x:c r="I78" s="1" t="n">
        <x:v>5</x:v>
      </x:c>
      <x:c r="J78" s="1" t="n">
        <x:v>0</x:v>
      </x:c>
      <x:c r="K78" s="1" t="str">
        <x:v>R2</x:v>
      </x:c>
      <x:c r="L78" s="1" t="n">
        <x:v>4</x:v>
      </x:c>
      <x:c r="M78" s="1" t="str">
        <x:v>R5</x:v>
      </x:c>
      <x:c r="N78" s="1" t="n">
        <x:v>5</x:v>
      </x:c>
      <x:c r="O78" s="1" t="n">
        <x:v>1</x:v>
      </x:c>
      <x:c r="P78" s="1" t="n">
        <x:v>1</x:v>
      </x:c>
      <x:c r="Q78" s="4" t="n">
        <x:v>8.08</x:v>
      </x:c>
      <x:c r="R78" s="4" t="n">
        <x:v>8.08</x:v>
      </x:c>
    </x:row>
    <x:row r="79" ht="24" customHeight="1">
      <x:c r="A79" s="1" t="str">
        <x:v>C078</x:v>
      </x:c>
      <x:c r="B79" s="1" t="str">
        <x:v>ENT</x:v>
      </x:c>
      <x:c r="C79" s="1" t="n">
        <x:v>2</x:v>
      </x:c>
      <x:c r="D79" s="1" t="n">
        <x:v>26</x:v>
      </x:c>
      <x:c r="E79" s="1" t="n">
        <x:v>85</x:v>
      </x:c>
      <x:c r="F79" s="1" t="n">
        <x:v>25</x:v>
      </x:c>
      <x:c r="G79" s="1" t="n">
        <x:v>110</x:v>
      </x:c>
      <x:c r="H79" s="1" t="n">
        <x:v>1</x:v>
      </x:c>
      <x:c r="I79" s="1" t="n">
        <x:v>5</x:v>
      </x:c>
      <x:c r="J79" s="1" t="n">
        <x:v>0</x:v>
      </x:c>
      <x:c r="K79" s="1" t="str"/>
      <x:c r="L79" s="1" t="str"/>
      <x:c r="M79" s="1" t="str">
        <x:v>R1</x:v>
      </x:c>
      <x:c r="N79" s="1" t="n">
        <x:v>2</x:v>
      </x:c>
      <x:c r="O79" s="1" t="n">
        <x:v>0</x:v>
      </x:c>
      <x:c r="P79" s="1" t="n">
        <x:v>1</x:v>
      </x:c>
      <x:c r="Q79" s="4" t="n">
        <x:v>0</x:v>
      </x:c>
      <x:c r="R79" s="4" t="n">
        <x:v>6.04</x:v>
      </x:c>
    </x:row>
    <x:row r="80" ht="24" customHeight="1">
      <x:c r="A80" s="1" t="str">
        <x:v>C079</x:v>
      </x:c>
      <x:c r="B80" s="1" t="str">
        <x:v>ENT</x:v>
      </x:c>
      <x:c r="C80" s="1" t="n">
        <x:v>1</x:v>
      </x:c>
      <x:c r="D80" s="1" t="n">
        <x:v>39</x:v>
      </x:c>
      <x:c r="E80" s="1" t="n">
        <x:v>65</x:v>
      </x:c>
      <x:c r="F80" s="1" t="n">
        <x:v>25</x:v>
      </x:c>
      <x:c r="G80" s="1" t="n">
        <x:v>90</x:v>
      </x:c>
      <x:c r="H80" s="1" t="n">
        <x:v>1</x:v>
      </x:c>
      <x:c r="I80" s="1" t="n">
        <x:v>3</x:v>
      </x:c>
      <x:c r="J80" s="1" t="n">
        <x:v>1</x:v>
      </x:c>
      <x:c r="K80" s="1" t="str">
        <x:v>R2</x:v>
      </x:c>
      <x:c r="L80" s="1" t="n">
        <x:v>2</x:v>
      </x:c>
      <x:c r="M80" s="1" t="str">
        <x:v>R1</x:v>
      </x:c>
      <x:c r="N80" s="1" t="n">
        <x:v>2</x:v>
      </x:c>
      <x:c r="O80" s="1" t="n">
        <x:v>1</x:v>
      </x:c>
      <x:c r="P80" s="1" t="n">
        <x:v>1</x:v>
      </x:c>
      <x:c r="Q80" s="4" t="n">
        <x:v>13.56</x:v>
      </x:c>
      <x:c r="R80" s="4" t="n">
        <x:v>13.56</x:v>
      </x:c>
    </x:row>
    <x:row r="81" ht="24" customHeight="1">
      <x:c r="A81" s="1" t="str">
        <x:v>C080</x:v>
      </x:c>
      <x:c r="B81" s="1" t="str">
        <x:v>ENT</x:v>
      </x:c>
      <x:c r="C81" s="1" t="n">
        <x:v>1</x:v>
      </x:c>
      <x:c r="D81" s="1" t="n">
        <x:v>20</x:v>
      </x:c>
      <x:c r="E81" s="1" t="n">
        <x:v>120</x:v>
      </x:c>
      <x:c r="F81" s="1" t="n">
        <x:v>25</x:v>
      </x:c>
      <x:c r="G81" s="1" t="n">
        <x:v>145</x:v>
      </x:c>
      <x:c r="H81" s="1" t="n">
        <x:v>1</x:v>
      </x:c>
      <x:c r="I81" s="1" t="n">
        <x:v>3</x:v>
      </x:c>
      <x:c r="J81" s="1" t="n">
        <x:v>0</x:v>
      </x:c>
      <x:c r="K81" s="1" t="str">
        <x:v>R2</x:v>
      </x:c>
      <x:c r="L81" s="1" t="n">
        <x:v>2</x:v>
      </x:c>
      <x:c r="M81" s="1" t="str">
        <x:v>R5</x:v>
      </x:c>
      <x:c r="N81" s="1" t="n">
        <x:v>3</x:v>
      </x:c>
      <x:c r="O81" s="1" t="n">
        <x:v>1</x:v>
      </x:c>
      <x:c r="P81" s="1" t="n">
        <x:v>1</x:v>
      </x:c>
      <x:c r="Q81" s="4" t="n">
        <x:v>12.8</x:v>
      </x:c>
      <x:c r="R81" s="4" t="n">
        <x:v>12.8</x:v>
      </x:c>
    </x:row>
    <x:row r="82" ht="24" customHeight="1">
      <x:c r="A82" s="1" t="str">
        <x:v>C081</x:v>
      </x:c>
      <x:c r="B82" s="1" t="str">
        <x:v>ENT</x:v>
      </x:c>
      <x:c r="C82" s="1" t="n">
        <x:v>3</x:v>
      </x:c>
      <x:c r="D82" s="1" t="n">
        <x:v>26</x:v>
      </x:c>
      <x:c r="E82" s="1" t="n">
        <x:v>95</x:v>
      </x:c>
      <x:c r="F82" s="1" t="n">
        <x:v>25</x:v>
      </x:c>
      <x:c r="G82" s="1" t="n">
        <x:v>120</x:v>
      </x:c>
      <x:c r="H82" s="1" t="n">
        <x:v>1</x:v>
      </x:c>
      <x:c r="I82" s="1" t="n">
        <x:v>4</x:v>
      </x:c>
      <x:c r="J82" s="1" t="n">
        <x:v>1</x:v>
      </x:c>
      <x:c r="K82" s="1" t="str"/>
      <x:c r="L82" s="1" t="str"/>
      <x:c r="M82" s="1" t="str">
        <x:v>R5</x:v>
      </x:c>
      <x:c r="N82" s="1" t="n">
        <x:v>3</x:v>
      </x:c>
      <x:c r="O82" s="1" t="n">
        <x:v>0</x:v>
      </x:c>
      <x:c r="P82" s="1" t="n">
        <x:v>1</x:v>
      </x:c>
      <x:c r="Q82" s="4" t="n">
        <x:v>0</x:v>
      </x:c>
      <x:c r="R82" s="4" t="n">
        <x:v>3.04</x:v>
      </x:c>
    </x:row>
    <x:row r="83" ht="24" customHeight="1">
      <x:c r="A83" s="1" t="str">
        <x:v>C082</x:v>
      </x:c>
      <x:c r="B83" s="1" t="str">
        <x:v>ENT</x:v>
      </x:c>
      <x:c r="C83" s="1" t="n">
        <x:v>2</x:v>
      </x:c>
      <x:c r="D83" s="1" t="n">
        <x:v>66</x:v>
      </x:c>
      <x:c r="E83" s="1" t="n">
        <x:v>125</x:v>
      </x:c>
      <x:c r="F83" s="1" t="n">
        <x:v>25</x:v>
      </x:c>
      <x:c r="G83" s="1" t="n">
        <x:v>150</x:v>
      </x:c>
      <x:c r="H83" s="1" t="n">
        <x:v>1</x:v>
      </x:c>
      <x:c r="I83" s="1" t="n">
        <x:v>5</x:v>
      </x:c>
      <x:c r="J83" s="1" t="n">
        <x:v>0</x:v>
      </x:c>
      <x:c r="K83" s="1" t="str">
        <x:v>R2</x:v>
      </x:c>
      <x:c r="L83" s="1" t="n">
        <x:v>4</x:v>
      </x:c>
      <x:c r="M83" s="1" t="str">
        <x:v>R5</x:v>
      </x:c>
      <x:c r="N83" s="1" t="n">
        <x:v>5</x:v>
      </x:c>
      <x:c r="O83" s="1" t="n">
        <x:v>1</x:v>
      </x:c>
      <x:c r="P83" s="1" t="n">
        <x:v>1</x:v>
      </x:c>
      <x:c r="Q83" s="4" t="n">
        <x:v>7.640000000000001</x:v>
      </x:c>
      <x:c r="R83" s="4" t="n">
        <x:v>7.640000000000001</x:v>
      </x:c>
    </x:row>
    <x:row r="84" ht="24" customHeight="1">
      <x:c r="A84" s="1" t="str">
        <x:v>C083</x:v>
      </x:c>
      <x:c r="B84" s="1" t="str">
        <x:v>Neurosurgery</x:v>
      </x:c>
      <x:c r="C84" s="1" t="n">
        <x:v>1</x:v>
      </x:c>
      <x:c r="D84" s="1" t="n">
        <x:v>49</x:v>
      </x:c>
      <x:c r="E84" s="1" t="n">
        <x:v>130</x:v>
      </x:c>
      <x:c r="F84" s="1" t="n">
        <x:v>25</x:v>
      </x:c>
      <x:c r="G84" s="1" t="n">
        <x:v>155</x:v>
      </x:c>
      <x:c r="H84" s="1" t="n">
        <x:v>2</x:v>
      </x:c>
      <x:c r="I84" s="1" t="n">
        <x:v>3</x:v>
      </x:c>
      <x:c r="J84" s="1" t="n">
        <x:v>1</x:v>
      </x:c>
      <x:c r="K84" s="1" t="str">
        <x:v>R5</x:v>
      </x:c>
      <x:c r="L84" s="1" t="n">
        <x:v>3</x:v>
      </x:c>
      <x:c r="M84" s="1" t="str">
        <x:v>R5</x:v>
      </x:c>
      <x:c r="N84" s="1" t="n">
        <x:v>2</x:v>
      </x:c>
      <x:c r="O84" s="1" t="n">
        <x:v>1</x:v>
      </x:c>
      <x:c r="P84" s="1" t="n">
        <x:v>1</x:v>
      </x:c>
      <x:c r="Q84" s="4" t="n">
        <x:v>13.96</x:v>
      </x:c>
      <x:c r="R84" s="4" t="n">
        <x:v>13.96</x:v>
      </x:c>
    </x:row>
    <x:row r="85" ht="24" customHeight="1">
      <x:c r="A85" s="1" t="str">
        <x:v>C084</x:v>
      </x:c>
      <x:c r="B85" s="1" t="str">
        <x:v>Neurosurgery</x:v>
      </x:c>
      <x:c r="C85" s="1" t="n">
        <x:v>1</x:v>
      </x:c>
      <x:c r="D85" s="1" t="n">
        <x:v>64</x:v>
      </x:c>
      <x:c r="E85" s="1" t="n">
        <x:v>205</x:v>
      </x:c>
      <x:c r="F85" s="1" t="n">
        <x:v>25</x:v>
      </x:c>
      <x:c r="G85" s="1" t="n">
        <x:v>230</x:v>
      </x:c>
      <x:c r="H85" s="1" t="n">
        <x:v>1</x:v>
      </x:c>
      <x:c r="I85" s="1" t="n">
        <x:v>2</x:v>
      </x:c>
      <x:c r="J85" s="1" t="n">
        <x:v>1</x:v>
      </x:c>
      <x:c r="K85" s="1" t="str">
        <x:v>R5</x:v>
      </x:c>
      <x:c r="L85" s="1" t="n">
        <x:v>1</x:v>
      </x:c>
      <x:c r="M85" s="1" t="str">
        <x:v>R5</x:v>
      </x:c>
      <x:c r="N85" s="1" t="n">
        <x:v>2</x:v>
      </x:c>
      <x:c r="O85" s="1" t="n">
        <x:v>1</x:v>
      </x:c>
      <x:c r="P85" s="1" t="n">
        <x:v>1</x:v>
      </x:c>
      <x:c r="Q85" s="4" t="n">
        <x:v>14.56</x:v>
      </x:c>
      <x:c r="R85" s="4" t="n">
        <x:v>14.56</x:v>
      </x:c>
    </x:row>
    <x:row r="86" ht="24" customHeight="1">
      <x:c r="A86" s="1" t="str">
        <x:v>C085</x:v>
      </x:c>
      <x:c r="B86" s="1" t="str">
        <x:v>Neurosurgery</x:v>
      </x:c>
      <x:c r="C86" s="1" t="n">
        <x:v>1</x:v>
      </x:c>
      <x:c r="D86" s="1" t="n">
        <x:v>22</x:v>
      </x:c>
      <x:c r="E86" s="1" t="n">
        <x:v>185</x:v>
      </x:c>
      <x:c r="F86" s="1" t="n">
        <x:v>25</x:v>
      </x:c>
      <x:c r="G86" s="1" t="n">
        <x:v>210</x:v>
      </x:c>
      <x:c r="H86" s="1" t="n">
        <x:v>1</x:v>
      </x:c>
      <x:c r="I86" s="1" t="n">
        <x:v>4</x:v>
      </x:c>
      <x:c r="J86" s="1" t="n">
        <x:v>1</x:v>
      </x:c>
      <x:c r="K86" s="1" t="str">
        <x:v>R5</x:v>
      </x:c>
      <x:c r="L86" s="1" t="n">
        <x:v>5</x:v>
      </x:c>
      <x:c r="M86" s="1" t="str">
        <x:v>R5</x:v>
      </x:c>
      <x:c r="N86" s="1" t="n">
        <x:v>4</x:v>
      </x:c>
      <x:c r="O86" s="1" t="n">
        <x:v>1</x:v>
      </x:c>
      <x:c r="P86" s="1" t="n">
        <x:v>1</x:v>
      </x:c>
      <x:c r="Q86" s="4" t="n">
        <x:v>12.28</x:v>
      </x:c>
      <x:c r="R86" s="4" t="n">
        <x:v>12.879999999999999</x:v>
      </x:c>
    </x:row>
    <x:row r="87" ht="24" customHeight="1">
      <x:c r="A87" s="1" t="str">
        <x:v>C086</x:v>
      </x:c>
      <x:c r="B87" s="1" t="str">
        <x:v>Neurosurgery</x:v>
      </x:c>
      <x:c r="C87" s="1" t="n">
        <x:v>3</x:v>
      </x:c>
      <x:c r="D87" s="1" t="n">
        <x:v>65</x:v>
      </x:c>
      <x:c r="E87" s="1" t="n">
        <x:v>165</x:v>
      </x:c>
      <x:c r="F87" s="1" t="n">
        <x:v>25</x:v>
      </x:c>
      <x:c r="G87" s="1" t="n">
        <x:v>190</x:v>
      </x:c>
      <x:c r="H87" s="1" t="n">
        <x:v>1</x:v>
      </x:c>
      <x:c r="I87" s="1" t="n">
        <x:v>4</x:v>
      </x:c>
      <x:c r="J87" s="1" t="n">
        <x:v>1</x:v>
      </x:c>
      <x:c r="K87" s="1" t="str">
        <x:v>R5</x:v>
      </x:c>
      <x:c r="L87" s="1" t="n">
        <x:v>1</x:v>
      </x:c>
      <x:c r="M87" s="1" t="str">
        <x:v>R5</x:v>
      </x:c>
      <x:c r="N87" s="1" t="n">
        <x:v>1</x:v>
      </x:c>
      <x:c r="O87" s="1" t="n">
        <x:v>1</x:v>
      </x:c>
      <x:c r="P87" s="1" t="n">
        <x:v>1</x:v>
      </x:c>
      <x:c r="Q87" s="4" t="n">
        <x:v>4.6</x:v>
      </x:c>
      <x:c r="R87" s="4" t="n">
        <x:v>4.6</x:v>
      </x:c>
    </x:row>
    <x:row r="88" ht="24" customHeight="1">
      <x:c r="A88" s="1" t="str">
        <x:v>C087</x:v>
      </x:c>
      <x:c r="B88" s="1" t="str">
        <x:v>Neurosurgery</x:v>
      </x:c>
      <x:c r="C88" s="1" t="n">
        <x:v>1</x:v>
      </x:c>
      <x:c r="D88" s="1" t="n">
        <x:v>29</x:v>
      </x:c>
      <x:c r="E88" s="1" t="n">
        <x:v>145</x:v>
      </x:c>
      <x:c r="F88" s="1" t="n">
        <x:v>25</x:v>
      </x:c>
      <x:c r="G88" s="1" t="n">
        <x:v>170</x:v>
      </x:c>
      <x:c r="H88" s="1" t="n">
        <x:v>2</x:v>
      </x:c>
      <x:c r="I88" s="1" t="n">
        <x:v>4</x:v>
      </x:c>
      <x:c r="J88" s="1" t="n">
        <x:v>1</x:v>
      </x:c>
      <x:c r="K88" s="1" t="str">
        <x:v>R5</x:v>
      </x:c>
      <x:c r="L88" s="1" t="n">
        <x:v>5</x:v>
      </x:c>
      <x:c r="M88" s="1" t="str">
        <x:v>R5</x:v>
      </x:c>
      <x:c r="N88" s="1" t="n">
        <x:v>4</x:v>
      </x:c>
      <x:c r="O88" s="1" t="n">
        <x:v>1</x:v>
      </x:c>
      <x:c r="P88" s="1" t="n">
        <x:v>1</x:v>
      </x:c>
      <x:c r="Q88" s="4" t="n">
        <x:v>12.56</x:v>
      </x:c>
      <x:c r="R88" s="4" t="n">
        <x:v>13.16</x:v>
      </x:c>
    </x:row>
    <x:row r="89" ht="24" customHeight="1">
      <x:c r="A89" s="1" t="str">
        <x:v>C088</x:v>
      </x:c>
      <x:c r="B89" s="1" t="str">
        <x:v>Neurosurgery</x:v>
      </x:c>
      <x:c r="C89" s="1" t="n">
        <x:v>1</x:v>
      </x:c>
      <x:c r="D89" s="1" t="n">
        <x:v>77</x:v>
      </x:c>
      <x:c r="E89" s="1" t="n">
        <x:v>175</x:v>
      </x:c>
      <x:c r="F89" s="1" t="n">
        <x:v>25</x:v>
      </x:c>
      <x:c r="G89" s="1" t="n">
        <x:v>200</x:v>
      </x:c>
      <x:c r="H89" s="1" t="n">
        <x:v>1</x:v>
      </x:c>
      <x:c r="I89" s="1" t="n">
        <x:v>4</x:v>
      </x:c>
      <x:c r="J89" s="1" t="n">
        <x:v>1</x:v>
      </x:c>
      <x:c r="K89" s="1" t="str">
        <x:v>R5</x:v>
      </x:c>
      <x:c r="L89" s="1" t="n">
        <x:v>3</x:v>
      </x:c>
      <x:c r="M89" s="1" t="str">
        <x:v>R5</x:v>
      </x:c>
      <x:c r="N89" s="1" t="n">
        <x:v>1</x:v>
      </x:c>
      <x:c r="O89" s="1" t="n">
        <x:v>1</x:v>
      </x:c>
      <x:c r="P89" s="1" t="n">
        <x:v>1</x:v>
      </x:c>
      <x:c r="Q89" s="4" t="n">
        <x:v>15.08</x:v>
      </x:c>
      <x:c r="R89" s="4" t="n">
        <x:v>15.08</x:v>
      </x:c>
    </x:row>
    <x:row r="90" ht="24" customHeight="1">
      <x:c r="A90" s="1" t="str">
        <x:v>C089</x:v>
      </x:c>
      <x:c r="B90" s="1" t="str">
        <x:v>Neurosurgery</x:v>
      </x:c>
      <x:c r="C90" s="1" t="n">
        <x:v>3</x:v>
      </x:c>
      <x:c r="D90" s="1" t="n">
        <x:v>43</x:v>
      </x:c>
      <x:c r="E90" s="1" t="n">
        <x:v>170</x:v>
      </x:c>
      <x:c r="F90" s="1" t="n">
        <x:v>25</x:v>
      </x:c>
      <x:c r="G90" s="1" t="n">
        <x:v>195</x:v>
      </x:c>
      <x:c r="H90" s="1" t="n">
        <x:v>1</x:v>
      </x:c>
      <x:c r="I90" s="1" t="n">
        <x:v>3</x:v>
      </x:c>
      <x:c r="J90" s="1" t="n">
        <x:v>1</x:v>
      </x:c>
      <x:c r="K90" s="1" t="str"/>
      <x:c r="L90" s="1" t="str"/>
      <x:c r="M90" s="1" t="str"/>
      <x:c r="N90" s="1" t="str"/>
      <x:c r="O90" s="1" t="n">
        <x:v>0</x:v>
      </x:c>
      <x:c r="P90" s="1" t="n">
        <x:v>0</x:v>
      </x:c>
      <x:c r="Q90" s="4" t="n">
        <x:v>0</x:v>
      </x:c>
      <x:c r="R90" s="4" t="n">
        <x:v>0</x:v>
      </x:c>
    </x:row>
    <x:row r="91" ht="24" customHeight="1">
      <x:c r="A91" s="1" t="str">
        <x:v>C090</x:v>
      </x:c>
      <x:c r="B91" s="1" t="str">
        <x:v>Neurosurgery</x:v>
      </x:c>
      <x:c r="C91" s="1" t="n">
        <x:v>3</x:v>
      </x:c>
      <x:c r="D91" s="1" t="n">
        <x:v>14</x:v>
      </x:c>
      <x:c r="E91" s="1" t="n">
        <x:v>220</x:v>
      </x:c>
      <x:c r="F91" s="1" t="n">
        <x:v>25</x:v>
      </x:c>
      <x:c r="G91" s="1" t="n">
        <x:v>245</x:v>
      </x:c>
      <x:c r="H91" s="1" t="n">
        <x:v>1</x:v>
      </x:c>
      <x:c r="I91" s="1" t="n">
        <x:v>4</x:v>
      </x:c>
      <x:c r="J91" s="1" t="n">
        <x:v>1</x:v>
      </x:c>
      <x:c r="K91" s="1" t="str"/>
      <x:c r="L91" s="1" t="str"/>
      <x:c r="M91" s="1" t="str"/>
      <x:c r="N91" s="1" t="str"/>
      <x:c r="O91" s="1" t="n">
        <x:v>0</x:v>
      </x:c>
      <x:c r="P91" s="1" t="n">
        <x:v>0</x:v>
      </x:c>
      <x:c r="Q91" s="4" t="n">
        <x:v>0</x:v>
      </x:c>
      <x:c r="R91" s="4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3" hidden="0" customWidth="1"/>
    <x:col min="3" max="3" width="23" hidden="0" customWidth="1"/>
    <x:col min="4" max="4" width="22" hidden="0" customWidth="1"/>
    <x:col min="5" max="5" width="43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25" customHeight="1">
      <x:c r="A1" s="3" t="str">
        <x:v>Policy</x:v>
      </x:c>
      <x:c r="B1" s="3" t="str">
        <x:v>Booking min</x:v>
      </x:c>
      <x:c r="C1" s="3" t="str">
        <x:v>Elective cases</x:v>
      </x:c>
      <x:c r="D1" s="3" t="str">
        <x:v>Priority 1</x:v>
      </x:c>
      <x:c r="E1" s="3" t="str">
        <x:v>Priority score</x:v>
      </x:c>
      <x:c r="F1" s="3" t="str">
        <x:v>Booked hours</x:v>
      </x:c>
      <x:c r="G1" s="3" t="str">
        <x:v>Mean OT h/wk</x:v>
      </x:c>
      <x:c r="H1" s="3" t="str">
        <x:v>90th % OT h/wk</x:v>
      </x:c>
      <x:c r="I1" s="3" t="str">
        <x:v>MILP gap</x:v>
      </x:c>
    </x:row>
    <x:row r="2" ht="25" customHeight="1">
      <x:c r="A2" s="1" t="str">
        <x:v>Fixed blocks</x:v>
      </x:c>
      <x:c r="B2" s="1" t="n">
        <x:v>420</x:v>
      </x:c>
      <x:c r="C2" s="1" t="n">
        <x:v>64</x:v>
      </x:c>
      <x:c r="D2" s="1" t="n">
        <x:v>23</x:v>
      </x:c>
      <x:c r="E2" s="4" t="n">
        <x:v>583.0799999999971</x:v>
      </x:c>
      <x:c r="F2" s="4" t="n">
        <x:v>165.25</x:v>
      </x:c>
      <x:c r="G2" s="4" t="n">
        <x:v>1.1222879378867607</x:v>
      </x:c>
      <x:c r="H2" s="4" t="n">
        <x:v>2.50412268380387</x:v>
      </x:c>
      <x:c r="I2" s="5" t="n">
        <x:v>0.008300747753314979</x:v>
      </x:c>
    </x:row>
    <x:row r="3" ht="25" customHeight="1">
      <x:c r="A3" s="1" t="str">
        <x:v>Flexible blocks</x:v>
      </x:c>
      <x:c r="B3" s="1" t="n">
        <x:v>420</x:v>
      </x:c>
      <x:c r="C3" s="1" t="n">
        <x:v>64</x:v>
      </x:c>
      <x:c r="D3" s="1" t="n">
        <x:v>23</x:v>
      </x:c>
      <x:c r="E3" s="4" t="n">
        <x:v>592.6400000000478</x:v>
      </x:c>
      <x:c r="F3" s="4" t="n">
        <x:v>160.33333333333334</x:v>
      </x:c>
      <x:c r="G3" s="4" t="n">
        <x:v>0.784464535431993</x:v>
      </x:c>
      <x:c r="H3" s="4" t="n">
        <x:v>1.8914577470427856</x:v>
      </x:c>
      <x:c r="I3" s="5" t="n">
        <x:v>0.04569384449235622</x:v>
      </x:c>
    </x:row>
    <x:row r="4" ht="25" customHeight="1">
      <x:c r="A4" s="1" t="str">
        <x:v>90-min margin</x:v>
      </x:c>
      <x:c r="B4" s="1" t="n">
        <x:v>390</x:v>
      </x:c>
      <x:c r="C4" s="1" t="n">
        <x:v>57</x:v>
      </x:c>
      <x:c r="D4" s="1" t="n">
        <x:v>23</x:v>
      </x:c>
      <x:c r="E4" s="4" t="n">
        <x:v>555.920000000005</x:v>
      </x:c>
      <x:c r="F4" s="4" t="n">
        <x:v>142</x:v>
      </x:c>
      <x:c r="G4" s="4" t="n">
        <x:v>0.21559263371634127</x:v>
      </x:c>
      <x:c r="H4" s="4" t="n">
        <x:v>0.7652674237996383</x:v>
      </x:c>
      <x:c r="I4" s="5" t="n">
        <x:v>0.07900417326233033</x:v>
      </x:c>
    </x:row>
    <x:row r="5" ht="25" customHeight="1">
      <x:c r="A5" s="1" t="str">
        <x:v>30-min margin</x:v>
      </x:c>
      <x:c r="B5" s="1" t="n">
        <x:v>450</x:v>
      </x:c>
      <x:c r="C5" s="1" t="n">
        <x:v>66</x:v>
      </x:c>
      <x:c r="D5" s="1" t="n">
        <x:v>23</x:v>
      </x:c>
      <x:c r="E5" s="4" t="n">
        <x:v>602</x:v>
      </x:c>
      <x:c r="F5" s="4" t="n">
        <x:v>168.41666666666666</x:v>
      </x:c>
      <x:c r="G5" s="4" t="n">
        <x:v>2.164587841609752</x:v>
      </x:c>
      <x:c r="H5" s="4" t="n">
        <x:v>4.0685244407071925</x:v>
      </x:c>
      <x:c r="I5" s="5" t="n">
        <x:v>0.061926910299003275</x:v>
      </x:c>
    </x:row>
    <x:row r="6" ht="25" customHeight="1">
      <x:c r="A6" s="1"/>
      <x:c r="B6" s="1"/>
      <x:c r="C6" s="1"/>
      <x:c r="D6" s="1"/>
      <x:c r="E6" s="1"/>
      <x:c r="F6" s="1"/>
      <x:c r="G6" s="1"/>
      <x:c r="H6" s="1"/>
      <x:c r="I6" s="1"/>
    </x:row>
    <x:row r="7" ht="25" customHeight="1">
      <x:c r="A7" s="1"/>
      <x:c r="B7" s="1"/>
      <x:c r="C7" s="1"/>
      <x:c r="D7" s="1"/>
      <x:c r="E7" s="1"/>
      <x:c r="F7" s="1"/>
      <x:c r="G7" s="1"/>
      <x:c r="H7" s="1"/>
      <x:c r="I7" s="1"/>
    </x:row>
    <x:row r="8" ht="25" customHeight="1">
      <x:c r="A8" s="3" t="str">
        <x:v>Emergency daytime queue</x:v>
      </x:c>
      <x:c r="B8" s="3" t="str">
        <x:v>One room</x:v>
      </x:c>
      <x:c r="C8" s="3" t="str">
        <x:v>Two rooms</x:v>
      </x:c>
      <x:c r="D8" s="3" t="str"/>
      <x:c r="E8" s="3" t="str">
        <x:v>Assumptions</x:v>
      </x:c>
      <x:c r="F8" s="1"/>
      <x:c r="G8" s="1"/>
      <x:c r="H8" s="1"/>
      <x:c r="I8" s="1"/>
    </x:row>
    <x:row r="9" ht="25" customHeight="1">
      <x:c r="A9" s="1" t="str">
        <x:v>Mean wait min</x:v>
      </x:c>
      <x:c r="B9" s="6" t="n">
        <x:v>78.4497703950985</x:v>
      </x:c>
      <x:c r="C9" s="6" t="n">
        <x:v>9.77800238093862</x:v>
      </x:c>
      <x:c r="D9" s="1" t="str"/>
      <x:c r="E9" s="1" t="str">
        <x:v>2.8 Poisson arrivals/day</x:v>
      </x:c>
      <x:c r="F9" s="1"/>
      <x:c r="G9" s="1"/>
      <x:c r="H9" s="1"/>
      <x:c r="I9" s="1"/>
    </x:row>
    <x:row r="10" ht="25" customHeight="1">
      <x:c r="A10" s="1" t="str">
        <x:v>P90 wait min</x:v>
      </x:c>
      <x:c r="B10" s="6" t="n">
        <x:v>236.89891402580037</x:v>
      </x:c>
      <x:c r="C10" s="6" t="n">
        <x:v>37.47562137486293</x:v>
      </x:c>
      <x:c r="D10" s="1" t="str"/>
      <x:c r="E10" s="1" t="str">
        <x:v>130-minute mean; gamma CV 0.35</x:v>
      </x:c>
      <x:c r="F10" s="1"/>
      <x:c r="G10" s="1"/>
      <x:c r="H10" s="1"/>
      <x:c r="I10" s="1"/>
    </x:row>
    <x:row r="11" ht="25" customHeight="1">
      <x:c r="A11" s="1" t="str">
        <x:v>Share wait &gt;60 min</x:v>
      </x:c>
      <x:c r="B11" s="5" t="n">
        <x:v>0.4013547237076649</x:v>
      </x:c>
      <x:c r="C11" s="5" t="n">
        <x:v>0.06802139037433155</x:v>
      </x:c>
      <x:c r="D11" s="1" t="str"/>
      <x:c r="E11" s="1" t="str">
        <x:v>3,000 weeks; FCFS; seed 98211</x:v>
      </x:c>
      <x:c r="F11" s="1"/>
      <x:c r="G11" s="1"/>
      <x:c r="H11" s="1"/>
      <x:c r="I11" s="1"/>
    </x:row>
  </x:sheetData>
  <x:pageMargins left="0.7" right="0.7" top="0.75" bottom="0.75" header="0.3" footer="0.3"/>
</x:worksheet>
</file>